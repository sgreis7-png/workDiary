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נחיות" sheetId="1" state="visible" r:id="rId3"/>
    <sheet name="פתיחת פרויקט" sheetId="2" state="visible" r:id="rId4"/>
    <sheet name="ריכוז סטטוס" sheetId="3" state="visible" r:id="rId5"/>
    <sheet name="טרום יציקה" sheetId="4" state="visible" r:id="rId6"/>
    <sheet name="שער 1" sheetId="5" state="visible" r:id="rId7"/>
    <sheet name="שער 2" sheetId="6" state="visible" r:id="rId8"/>
    <sheet name="שער 3" sheetId="7" state="visible" r:id="rId9"/>
    <sheet name="שער 4" sheetId="8" state="visible" r:id="rId10"/>
    <sheet name="שער 5" sheetId="9" state="visible" r:id="rId11"/>
    <sheet name="שער 6" sheetId="10" state="visible" r:id="rId12"/>
    <sheet name="יומן ליקויים" sheetId="11" state="visible" r:id="rId13"/>
    <sheet name="רשימות" sheetId="12" state="hidden" r:id="rId14"/>
  </sheets>
  <definedNames>
    <definedName function="false" hidden="false" name="טרום_יציקה" vbProcedure="false">רשימות!$A$2:$A$8</definedName>
    <definedName function="false" hidden="false" name="שער_1" vbProcedure="false">רשימות!$B$2:$B$11</definedName>
    <definedName function="false" hidden="false" name="שער_2" vbProcedure="false">רשימות!$C$2:$C$11</definedName>
    <definedName function="false" hidden="false" name="שער_3" vbProcedure="false">רשימות!$D$2:$D$10</definedName>
    <definedName function="false" hidden="false" name="שער_4" vbProcedure="false">רשימות!$E$2:$E$11</definedName>
    <definedName function="false" hidden="false" name="שער_5" vbProcedure="false">רשימות!$F$2:$F$20</definedName>
    <definedName function="false" hidden="false" name="שער_6" vbProcedure="false">רשימות!$G$2:$G$19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<sst xmlns="http://schemas.openxmlformats.org/spreadsheetml/2006/main" count="315" uniqueCount="252">
  <si>
    <t xml:space="preserve">תפיסת סיום שלב — כלי בקרת איכות | Agrotop</t>
  </si>
  <si>
    <t xml:space="preserve">מה זה הכלי:</t>
  </si>
  <si>
    <t xml:space="preserve">צ'קליסט למנהל הביצוע בנקודות סיום שלב (Hold Points). וידוא־על ניהולי מבוסס־תוצאה יחד עם המפקח — לא בדיקה הנדסית יומיומית (זו באחריות מפקח השטח). הדוח משמש את סמנכ"ל התפעול לאישור מסירה (Go / No-Go).</t>
  </si>
  <si>
    <t xml:space="preserve">איך ממלאים:</t>
  </si>
  <si>
    <t xml:space="preserve">כל סעיף: בוצע / לא בוצע / לא רלוונטי (בחירה מרשימה) + הערה. "לא רלוונטי" הוא ערך לגיטימי — כך טופס אחד משרת את כל סוגי הלולים.</t>
  </si>
  <si>
    <t xml:space="preserve">סעיף שסומן "לא בוצע": בוחרים חומרה, ופותחים שורה בגיליון "יומן ליקויים" — עם אחראי ותאריך יעד לתיקון.</t>
  </si>
  <si>
    <t xml:space="preserve">כלל מעבר בין שערים:</t>
  </si>
  <si>
    <t xml:space="preserve">🟡 מינורי — ממשיכים, עם תיעוד ותאריך יעד לתיקון.  🟠 מז'ורי — רק עם טופס ויתור (Concession) בחתימה כפולה של מנהל הביצוע והמפקח.  🔴 קריטי (נסתר / מבני / בטיחותי) — עצירה מוחלטת, אין חתימה שעוקפת.</t>
  </si>
  <si>
    <t xml:space="preserve">בדיקת טרום־יציקה (גיליון "טרום יציקה") היא עצירת חובה לפני הזמנת הבטון — אין ויתורים. באחריות מפקח השטח, כולל תיעוד צילומי.</t>
  </si>
  <si>
    <t xml:space="preserve">עקרונות:</t>
  </si>
  <si>
    <t xml:space="preserve">התפיסה היא per־לול — כל לול בחווה נתפס בנפרד (עותק קובץ לכל לול). שדה ההערות/סטיות בכל שער מזין דוח מרוכז להנדסה בסוף הפרויקט.</t>
  </si>
  <si>
    <t xml:space="preserve">מסמכי ייחוס: שער 1 — תוכנית חווה + יסודות · שער 2 — שרטוט אגד עם ציוד (SC-03 / SC-03A) · שער 5 — תוכנית פריסת ציוד (SC-02A).</t>
  </si>
  <si>
    <t xml:space="preserve">ניפוק: הקובץ מנוהל כמאסטר אחד ע"י מנהל הביצוע בלבד. אין להעביר עותקים ערוכים בין מפקחים.</t>
  </si>
  <si>
    <t xml:space="preserve">פתיחת פרויקט — ממלאים פעם אחת</t>
  </si>
  <si>
    <t xml:space="preserve">פרויקט / אתר</t>
  </si>
  <si>
    <t xml:space="preserve">מספר לולים בחווה</t>
  </si>
  <si>
    <t xml:space="preserve">לול מספר (הקובץ הזה)</t>
  </si>
  <si>
    <t xml:space="preserve">סוג לול</t>
  </si>
  <si>
    <t xml:space="preserve">ספק ציוד גידול</t>
  </si>
  <si>
    <t xml:space="preserve">חימום (יש / אין)</t>
  </si>
  <si>
    <t xml:space="preserve">מזרוני צינון (יש / אין)</t>
  </si>
  <si>
    <t xml:space="preserve">תריס מאוורר מנהרה (יש / אין)</t>
  </si>
  <si>
    <t xml:space="preserve">מנהל ביצוע</t>
  </si>
  <si>
    <t xml:space="preserve">מפקח שטח</t>
  </si>
  <si>
    <t xml:space="preserve">תאריך פתיחה</t>
  </si>
  <si>
    <t xml:space="preserve">מטריצת אחריות — מי אחראי על מה בפרויקט הזה</t>
  </si>
  <si>
    <t xml:space="preserve">תחום</t>
  </si>
  <si>
    <t xml:space="preserve">אחריות</t>
  </si>
  <si>
    <t xml:space="preserve">גורם חיצוני (מי?)</t>
  </si>
  <si>
    <t xml:space="preserve">הערות</t>
  </si>
  <si>
    <t xml:space="preserve">גז — חיבור, הרצה ואישור</t>
  </si>
  <si>
    <t xml:space="preserve">גנרטור חירום ו-ATS</t>
  </si>
  <si>
    <t xml:space="preserve">קו מים ראשי עד ראש המערכת</t>
  </si>
  <si>
    <t xml:space="preserve">חשמל — הזנה עד הלוח הראשי</t>
  </si>
  <si>
    <t xml:space="preserve">בודק חשמל מוסמך</t>
  </si>
  <si>
    <t xml:space="preserve">ציוד גידול — הרצה ואישור ספק</t>
  </si>
  <si>
    <t xml:space="preserve">אחר: ______</t>
  </si>
  <si>
    <t xml:space="preserve">⚠ תחום שסומן "לקוח" או "גורם חיצוני" — הסעיפים המתאימים בשערים מסומנים "לא רלוונטי" עם הפניה לכאן.</t>
  </si>
  <si>
    <t xml:space="preserve">⚠ לפי התצורה למעלה: אין חימום → סעיף חימום בשער 5 = לא רלוונטי. אין תריס → סעיף התריס בשער 4 = לא רלוונטי. וכן הלאה.</t>
  </si>
  <si>
    <t xml:space="preserve">ריכוז סטטוס — תמונת מצב הלול</t>
  </si>
  <si>
    <t xml:space="preserve">שער</t>
  </si>
  <si>
    <t xml:space="preserve">בוצע</t>
  </si>
  <si>
    <t xml:space="preserve">לא בוצע</t>
  </si>
  <si>
    <t xml:space="preserve">לא רלוונטי</t>
  </si>
  <si>
    <t xml:space="preserve">טרם</t>
  </si>
  <si>
    <t xml:space="preserve">% הושלם</t>
  </si>
  <si>
    <t xml:space="preserve">סעיפים שסומנו "לא בוצע" (מספרי סעיף)</t>
  </si>
  <si>
    <t xml:space="preserve">טרום יציקה</t>
  </si>
  <si>
    <t xml:space="preserve">שער 1</t>
  </si>
  <si>
    <t xml:space="preserve">שער 2</t>
  </si>
  <si>
    <t xml:space="preserve">שער 3</t>
  </si>
  <si>
    <t xml:space="preserve">שער 4</t>
  </si>
  <si>
    <t xml:space="preserve">שער 5</t>
  </si>
  <si>
    <t xml:space="preserve">שער 6</t>
  </si>
  <si>
    <t xml:space="preserve">⚠ הריכוז מתעדכן אוטומטית מגיליונות השערים. סעיף שסומן "לא בוצע" — נפתחת לו שורה ביומן הליקויים (שער ← ואז רשימת הסעיפים מותאמת לשער שנבחר).</t>
  </si>
  <si>
    <t xml:space="preserve">🔴 בדיקת טרום־יציקה (Pre-Pour) — באחריות מפקח השטח</t>
  </si>
  <si>
    <t xml:space="preserve">גיליון זה ממולא ונחתם על ידי מפקח השטח לפני כל יציקה. מסמכי ייחוס: תוכנית יסודות ותוכנית חווה.</t>
  </si>
  <si>
    <t xml:space="preserve">#</t>
  </si>
  <si>
    <t xml:space="preserve">הסעיף</t>
  </si>
  <si>
    <t xml:space="preserve">סטטוס</t>
  </si>
  <si>
    <t xml:space="preserve">חומרה (אם לא בוצע)</t>
  </si>
  <si>
    <t xml:space="preserve">הערה</t>
  </si>
  <si>
    <t xml:space="preserve">בוצע עם גורם חיצוני</t>
  </si>
  <si>
    <t xml:space="preserve">המצעים הודקו בשכבות מבוקרות לדרגת הידוק מינימלית 98% לפי Modified AASHTO — דוח בדיקות צפיפות מהלקוח התקבל ותקין</t>
  </si>
  <si>
    <t xml:space="preserve">המצעים ישרים ומהודקים ויזואלית, ללא אזורים רכים; הגבהים לפי תוכנית</t>
  </si>
  <si>
    <t xml:space="preserve">העוגנים במיקום לפי תוכנית, אנכיים, אורך הברגה תקין, מקובעים לתבנית</t>
  </si>
  <si>
    <t xml:space="preserve">כל השרוולים והחדירות (מים, חשמל, ניקוז, גז) במקום, במיקום לפי תוכנית, פתוחים ומסומנים</t>
  </si>
  <si>
    <t xml:space="preserve">הזיון לפי תוכנית — קוטר, מרווחים, שומרי מרחק (ספייסרים)</t>
  </si>
  <si>
    <t xml:space="preserve">התבניות יציבות, במידות ובמפלסים לפי תוכנית</t>
  </si>
  <si>
    <t xml:space="preserve">תיעוד צילומי מלא בוצע לפני היציקה (עוגנים, שרוולים, זיון) ונשמר בתיק הפרויקט</t>
  </si>
  <si>
    <t xml:space="preserve">⚠ עצירת חובה: אין להזמין בטון לפני שכל הסעיפים כאן "בוצע" — אין ויתורים ואין חתימה שעוקפת.</t>
  </si>
  <si>
    <t xml:space="preserve">⚠ מנהל הביצוע מוודא את קיום התיעוד הזה במסגרת שער 1.</t>
  </si>
  <si>
    <t xml:space="preserve">מנהל ביצוע — שם, חתימה ותאריך:</t>
  </si>
  <si>
    <t xml:space="preserve">מפקח — שם, חתימה ותאריך:</t>
  </si>
  <si>
    <t xml:space="preserve">🔴 שער 1 — יסודות, בטונים ורצפה</t>
  </si>
  <si>
    <t xml:space="preserve">🛡️ העוגנים במקום ותקינים — במיקום לפי תוכנית, אנכיים, אורך הברגה תקין, ללא פגיעה. השלד יכול לשבת עליהם בלי התאמות בכוח</t>
  </si>
  <si>
    <t xml:space="preserve">🔧 הרצפה מפולסת, במפלס הנכון ובעובי לפי תוכנית — אין שקיעות או גלים, מעברי גובה תקינים (מפלס ה-0.00 האבסולוטי — לפי תוכנית החווה)</t>
  </si>
  <si>
    <t xml:space="preserve">🔧 שיפוע הניקוז עובד — המים זורמים לתעלות/פתחים, אין שלוליות עומדות</t>
  </si>
  <si>
    <t xml:space="preserve">🔧 תעלת הזבל / פתחי ניקוז תקינים — מיקום ושיפוע נכונים, נקיים, מעבר חופשי, אף־מים במקום</t>
  </si>
  <si>
    <t xml:space="preserve">🛡️ הבטון איכותי ובחוזק לפי הגדרת מחלקת ההנדסה — אין סדקים מהותיים, סגרגציה או התפוררות; דוח בדיקת 7 ימים התקבל ותקין</t>
  </si>
  <si>
    <t xml:space="preserve">📄 מעקב פתוח: תוצאות בדיקת 28 יום יצורפו לתיק וייסגרו בשער 2. תוצאה לא תקינה — עצירה ואישור קונסטרוקטור חיצוני דרך מחלקת ההנדסה</t>
  </si>
  <si>
    <t xml:space="preserve">🛡️ אשפרה בוצעה — טופל כראוי, אין סימני אשפרה לקויה</t>
  </si>
  <si>
    <t xml:space="preserve">🎨 גימור ונראות הרצפה — מוחלקת כנדרש, חלקה ואחידה, נקייה, ללא גבשושיות או כתמי יציקה</t>
  </si>
  <si>
    <t xml:space="preserve">📄 גיליון "טרום יציקה" מולא, נחתם ומתועד בצילומים</t>
  </si>
  <si>
    <t xml:space="preserve">📝 הערות כלליות / סטיות מהתכנון</t>
  </si>
  <si>
    <t xml:space="preserve">⚠ מסמכי ייחוס: תוכנית חווה (מפלסי 0.00 לכל לול) + תוכנית יסודות.</t>
  </si>
  <si>
    <t xml:space="preserve">🔴 שער 2 — שלד, חיזוקי רוח וקורות רפד</t>
  </si>
  <si>
    <t xml:space="preserve">🛡️ השלד עומד אנכי ויציב — עמודים אנכיים, פטות והלבשות מחוברות במקום, ללא נטיות או עיוותים</t>
  </si>
  <si>
    <t xml:space="preserve">🛡️ כל החיבורים מהודקים ותקינים — ברגים מוברגים ומהודקים, אין חסרים או רופפים, דיסקיות במקום, ריתוכים (אם יש) שלמים</t>
  </si>
  <si>
    <t xml:space="preserve">🛡️ חיזוקי הרוח מתוחים ופעילים — מותקנים במלואם במקומם לפי תוכנית, מתוחים (מותחנים), לא רפויים</t>
  </si>
  <si>
    <t xml:space="preserve">🛡️ קורות הרפד ישרות, מפולסות ובמפלס אחיד — מחוברות בעזרת קוצים לרצפה לפי תכנון, ללא סגרגציה, כל השקעים והחללים בקורות הושלמו, מוחלקות כראוי</t>
  </si>
  <si>
    <t xml:space="preserve">🛡️ נקודות תלייה וקונסטרוקציית משנה לציוד תלוי — כל נקודות התלייה, הפרופילים והחיזוקים הותקנו לפי שרטוט אגד עם ציוד (SC-03 / SC-03A): מספר נקודות לכל אגד, מיקום לפי מידות, ופרט חיבור כמשורטט — לפני סגירת התקרה</t>
  </si>
  <si>
    <t xml:space="preserve">🔧 הגיאומטריה תקינה — מידות, דיאגונלים, מרווחי עמודים אחידים; פתחי שערים, דלתות, מאווררים ומזרוני צינון — במיקום ובממדים לפי תוכנית</t>
  </si>
  <si>
    <t xml:space="preserve">🛡️ הגלוון תקין — אין פגיעות חשופות או חלודה; תיקוני גלוון קר במקום</t>
  </si>
  <si>
    <t xml:space="preserve">📄 סגירת מעקב בטון: תוצאות בדיקת 28 יום התקבלו ותקינות</t>
  </si>
  <si>
    <t xml:space="preserve">🎨 גימור ונראות הקונסטרוקציה — פלדה נקייה, ברגים מיושרים ואחידים, אין נזילות, חיבורים מסודרים</t>
  </si>
  <si>
    <t xml:space="preserve">⚠ הבחנת ממשק: בדיקת קורת הרפד עצמה — כאן. בדיקת האטימה בין הפנל לקורה — בשער 3.</t>
  </si>
  <si>
    <t xml:space="preserve">⚠ מסמך ייחוס: שרטוט אגד עם ציוד (SC-03 מטילות / SC-03A פטם).</t>
  </si>
  <si>
    <t xml:space="preserve">🔧 שער 3 — מעטפת המבנה: קירוי, תקרה, פנלים, בידוד, פלשונגים</t>
  </si>
  <si>
    <t xml:space="preserve">🔧 הגג אטום למים — פחי הגג כוסו במלואם בצורה ישרה, חפיפות נכונות, ברגים ואטמים במקום, אין חדירת מים, רוכבים/סוגרי גלים יושבים ואטומים; לא הותקנו פחים פגומים או בגוון לא תואם</t>
  </si>
  <si>
    <t xml:space="preserve">🔧 התקרה כוסתה בצורה ישרה ונאטמה כראוי — במקום, מחוברת ואטומה, ללא פערים</t>
  </si>
  <si>
    <t xml:space="preserve">🔧 הפנלים מותקנים ואטומים — קירות וגמלונים מותקנים, איטומי החיבורים (סיליקון/סיקהפלקס) רציפים ומלאים; לא הותקנו פנלים פגומים או בגוון לא תואם</t>
  </si>
  <si>
    <t xml:space="preserve">🔧 האטימה בחיבור בין פנל לקורה תקינה — החיבור והאיטום בין תחתית הפנלים לקורת הרפד רציף ואטום</t>
  </si>
  <si>
    <t xml:space="preserve">🛡️ הבידוד תקין ורציף — לכל שטח המעטפת, ללא גשרי קור, לא נמעך ולא נפגע, תואם למפרט</t>
  </si>
  <si>
    <t xml:space="preserve">🔧 הפלשונגים הותקנו כראוי — במקום, מנתבים מים החוצה, אטומים, לפי הרשימה שאושרה על ידי המפקח</t>
  </si>
  <si>
    <t xml:space="preserve">🎨 RAL ואחידות גוון — כל הפחים והפנלים באותו גוון, כיסוי מלא, אין שריטות או קילופים חשופים</t>
  </si>
  <si>
    <t xml:space="preserve">🎨 גימור ונראות המעטפת — קווים ישרים ומקבילים, ברגים מיושרים בשורות אחידות, חפיפות נקיות, פלשונגים ישרים, אין עיוותי פח</t>
  </si>
  <si>
    <t xml:space="preserve">⚠ בדיקת אטימות אוויר של המעטפת — בשער 6: בשלב זה חזית אחת נשארת בכוונה פתוחה להכנסת ציוד.</t>
  </si>
  <si>
    <t xml:space="preserve">🔧 שער 4 — מערכות המבנה (ללא ציוד גידול)</t>
  </si>
  <si>
    <t xml:space="preserve">הכל ברמת "מותקן, אטום, תקין". פעולות שדורשות חשמל — הרצה בשער 5.</t>
  </si>
  <si>
    <t xml:space="preserve">🔧 שערים ודלתות — מותקנים, נעולים ותקינים: יושבים יציב, נעים חלק, לא רועדים; מערכות הנעילה עובדות (לרצפה, למשקוף, לצדדים); אטמים במקום, אטומים לאוויר ולאור (ידניים — נבדקים במלואם כאן)</t>
  </si>
  <si>
    <t xml:space="preserve">🔧 וילונות — מותקנים ואטומים: מתוחים, ללא קרעים, אטומים בקצוות ובתחתית; פסי ה-PVC למניעת קרעים בווילון מותקנים ומחוברים היטב (הפעלה — בשער 5)</t>
  </si>
  <si>
    <t xml:space="preserve">🔧 דמפרים / כניסות אוויר — מותקנים ואטומים, כולל מסגרות: המסגרות סביב הדמפרים מותקנות במלואן; הדמפרים אטומים כשסגורים, המנגנון מחובר (פתיחה וסנכרון — בשער 5)</t>
  </si>
  <si>
    <t xml:space="preserve">🔧 מאווררים — מותקנים ואטומים למעטפת: מקובעים, אטומים להיקף, תריסי הגנה תקינים, אין נזק לכנפיים</t>
  </si>
  <si>
    <t xml:space="preserve">🔧 סעיף מותנה — מאוורר מנהרה עם תריס: האינוורטר מותקן מצד ימין צמוד למאוורר; התריס ישר, מאוזן ותקין; קונטקטור מחובר לתריס ובסמוך אליו (לא בלוח החשמל). אם אין תריס — לא רלוונטי</t>
  </si>
  <si>
    <t xml:space="preserve">🔧 מזרוני צינון — מותקנים ואטומים למעטפת: המזרון אטום למעטפת, מאגר/תעלת מים וצנרת ללא דליפות (זרימה ופיזור — בשער 5)</t>
  </si>
  <si>
    <t xml:space="preserve">🛡️ רשתות לול — שלמות ומותקנות: מתוחות, מחוברות בכל ההיקף, ללא קרעים או פערים</t>
  </si>
  <si>
    <t xml:space="preserve">🛡️ קיבועים ומסגרות — יציבים: מעוגנים היטב, אין קיבוע רופף</t>
  </si>
  <si>
    <t xml:space="preserve">🎨 גימור ונראות — מיושר, מפולס, גוונים תואמים, אטמים חתוכים נקי, ברגים מסודרים</t>
  </si>
  <si>
    <t xml:space="preserve">⚠ תזמון: שער 4 נסגר מוקדם; ציוד הגידול וההרצה (שער 5) מגיעים שבועות עד חודשים אחר כך.</t>
  </si>
  <si>
    <t xml:space="preserve">🔧 שער 5 — ציוד גידול, חשמל, בקרה והרצה</t>
  </si>
  <si>
    <t xml:space="preserve">🛡️ תנאי סף: חשמל מחובר ופעיל</t>
  </si>
  <si>
    <t xml:space="preserve">🔧 לוח חשמל — מותקן, מסומן, כבילה מסודרת, הארקה תקינה</t>
  </si>
  <si>
    <t xml:space="preserve">🔧 תאורה — כל הגופים דולקים, עמעום עובד, תוכנית תאורה הוגדרה (במטילות: תאורה מדורגת למניעת ביצי רצפה)</t>
  </si>
  <si>
    <t xml:space="preserve">🔧 בקר אקלים — מחובר, כל הגששים קוראים ערכים תקינים, תוכנית בסיס הוגדרה</t>
  </si>
  <si>
    <t xml:space="preserve">🔧 מערכת הגידול (אביארי/כלובים או רצפה) — מפולסת, מיושרת, נעולה, מקובעת (לפי סוג הלול)</t>
  </si>
  <si>
    <t xml:space="preserve">🔧 מערכת ההטלה / איסוף ביצים — מותקנת ותקינה, מנגנון גלגול/גירוש תקין (מטילות/רבייה; בפטם — לא רלוונטי)</t>
  </si>
  <si>
    <t xml:space="preserve">🔧 מסועי ביצים / זבל — מחוברים, מיושרים, מתוחים, מעבר חלק</t>
  </si>
  <si>
    <t xml:space="preserve">🔧 קווי הזנה כולל סילו וקו הולכה — הסילו מוקם על משטחו ותקין; קו ההולכה מהסילו מחובר ואטום בחדירת הקיר; קווי ההזנה מפולסים, בגובה, ללא נזילה או פיזור, כולל בקרת בקיעה; פריסה לפי תוכנית הציוד</t>
  </si>
  <si>
    <t xml:space="preserve">🔧 קווי שתייה — ללא נזילות, לחץ וגובה מתכווננים, סינון מים</t>
  </si>
  <si>
    <t xml:space="preserve">🔧 ראש מערכת המים — מותקן ותקין, כולל מערכת מתן תרופות (מדיקטור). הקו הראשי עד ראש המערכת — אחריות לקוח; מראש המערכת פנימה — אחריותנו</t>
  </si>
  <si>
    <t xml:space="preserve">🔧 חימום — התנורים מותקנים ותקינים; חיבור והרצת גז בוצעו ואומתו מול חברת הגז (הגז לעולם באחריות חברת הגז). אם אין חימום — לא רלוונטי</t>
  </si>
  <si>
    <t xml:space="preserve">🔧 מאווררים רצים — כיוון סיבוב נכון, ויסות מהירות (אינוורטר)</t>
  </si>
  <si>
    <t xml:space="preserve">🔧 צינון רץ — משאבה עובדת, מים מתפזרים על כל שטח המזרון</t>
  </si>
  <si>
    <t xml:space="preserve">🔧 וילונות ודמפרים — נעים ומסונכרנים</t>
  </si>
  <si>
    <t xml:space="preserve">🛡️ הפלת וילון חירום — נבדקה ועובדת</t>
  </si>
  <si>
    <t xml:space="preserve">🔧 ציוד גידול רץ — הזנה, מים, מסועים, חימום פועלים</t>
  </si>
  <si>
    <t xml:space="preserve">🛡️ אימות מול ספק / סופרוויזר — הספק הריץ ואישר את ציודו (לציין את הגורם בעמודה המתאימה)</t>
  </si>
  <si>
    <t xml:space="preserve">🎨 גימור ונראות — הכל מיושר, מפולס, מסודר; קווי הזנה ושתייה ישרים ומקבילים לפי תוכנית הפריסה</t>
  </si>
  <si>
    <t xml:space="preserve">⚠ מסמך ייחוס: תוכנית פריסת ציוד (SC-02A).</t>
  </si>
  <si>
    <t xml:space="preserve">⚠ סעיפי ציוד הגידול מותנים בתצורה שבגיליון "פתיחת פרויקט" — מה שלא קיים מסומן "לא רלוונטי".</t>
  </si>
  <si>
    <t xml:space="preserve">✍️ שער 6 — מסירה פנימית</t>
  </si>
  <si>
    <t xml:space="preserve">המבנה סגור סופית והכל רץ. לבדיקות כלל־מבניות שבוצעו עם גורם חיצוני — לציין את הגורם בעמודה המתאימה.</t>
  </si>
  <si>
    <t xml:space="preserve">✅ שערים 1-5 הושלמו ונחתמו — אין ליקוי פתוח מהותי ביומן הליקויים</t>
  </si>
  <si>
    <t xml:space="preserve">🔧 אטימות אוויר — אין חדירת אוויר לא מבוקרת; אוויר נכנס רק דרך הפתחים המתוכננים</t>
  </si>
  <si>
    <t xml:space="preserve">🔧 אטימות אור — החשכה מלאה, אין דליפות אור סביב פתחים, דלתות ווילונות (קריטי במטילות)</t>
  </si>
  <si>
    <t xml:space="preserve">🔧 פיזור אוויר בנר עשן — זרימת האוויר אחידה בעין, אין אזורים מתים</t>
  </si>
  <si>
    <t xml:space="preserve">🔧 לחץ סטטי (מהבקר) — הלחץ שהבקר מציג תואם לערך הנדרש</t>
  </si>
  <si>
    <t xml:space="preserve">🔍 מהירות אוויר (בדיקת עומק מותנית) — רק אם הלחץ או הפיזור עוררו חשד; אחרת — לא רלוונטי</t>
  </si>
  <si>
    <t xml:space="preserve">🔧 מערכת ההזנה מקצה לקצה — מהסילו, דרך קו ההולכה, עד הצלחת/האבוס — הופעלה ועובדת ברצף</t>
  </si>
  <si>
    <t xml:space="preserve">🛡️ תרחיש חירום — נבדק בפועל: מדמים כשל חשמל ומוודאים שאוורור החירום נכנס לפעולה (וילון נופל / פתחי חירום נפתחים) והתראות הבקר פועלות</t>
  </si>
  <si>
    <t xml:space="preserve">🛡️ גנרטור חירום ומערכת התראה — התנעה אוטומטית (ATS) וחייגן נבדקו (אם באחריות הלקוח — לא רלוונטי + הערה)</t>
  </si>
  <si>
    <t xml:space="preserve">🎨 ניקיון הלול מבפנים — פונה מפסולת בנייה, נקי ומוכן</t>
  </si>
  <si>
    <t xml:space="preserve">🎨 סביבת האתר — פינוי פסולת, כבישי גישה, ניקיון היקפי</t>
  </si>
  <si>
    <t xml:space="preserve">🎨 החזרת ציוד וחלקים מיותרים למחסן — כל עודפי הציוד והחומרים הוחזרו ותועדו</t>
  </si>
  <si>
    <t xml:space="preserve">📄 ריכוז הערות וסטיות משערים 1-5 — מרוכז לדוח חוזר להנדסה</t>
  </si>
  <si>
    <t xml:space="preserve">📄 תיעוד מלא — תמונות, תעודות (בטון, ציוד), מדריכי הפעלה</t>
  </si>
  <si>
    <t xml:space="preserve">📄 אישור בודק חשמל מוסמך — התקבל ותויק (אם באחריות הלקוח — לא רלוונטי + הערה)</t>
  </si>
  <si>
    <t xml:space="preserve">📄 ספר לולן נמסר ללקוח; הלקוח חתם על טופס מסירה; הטופס החתום הועבר למחלקת ההנדסה לתיעוד</t>
  </si>
  <si>
    <t xml:space="preserve">✍️ אישור סמנכ"ל תפעול — Go / No-Go למסירה חיצונית ללקוח</t>
  </si>
  <si>
    <t xml:space="preserve">📝 הערות כלליות</t>
  </si>
  <si>
    <t xml:space="preserve">יומן ליקויים — כל סעיף שסומן "לא בוצע" נרשם כאן</t>
  </si>
  <si>
    <t xml:space="preserve">מס'</t>
  </si>
  <si>
    <t xml:space="preserve">סעיף</t>
  </si>
  <si>
    <t xml:space="preserve">תיאור הליקוי</t>
  </si>
  <si>
    <t xml:space="preserve">חומרה</t>
  </si>
  <si>
    <t xml:space="preserve">אחראי לתיקון</t>
  </si>
  <si>
    <t xml:space="preserve">תאריך יעד לתיקון</t>
  </si>
  <si>
    <t xml:space="preserve">נסגר בתאריך</t>
  </si>
  <si>
    <t xml:space="preserve">הערות / אסמכתא לסגירה</t>
  </si>
  <si>
    <t xml:space="preserve">⚠ כלל זהב: אין חתימה על שער עם ליקוי 🔴 פתוח. ליקוי 🟠 — רק עם טופס ויתור בחתימה כפולה. שער 6 לא נחתם עם ליקוי מהותי פתוח כלשהו.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</si>
  <si>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FreeSans"/>
        <family val="2"/>
      </rPr>
      <t xml:space="preserve">המצעים הודקו בשכבות מבוקרות לדרגת הידוק מינימלית </t>
    </r>
    <r>
      <rPr>
        <sz val="11"/>
        <color theme="1"/>
        <rFont val="Calibri"/>
        <family val="2"/>
        <charset val="1"/>
      </rPr>
      <t xml:space="preserve">98% </t>
    </r>
    <r>
      <rPr>
        <sz val="11"/>
        <color theme="1"/>
        <rFont val="FreeSans"/>
        <family val="2"/>
      </rPr>
      <t xml:space="preserve">לפי </t>
    </r>
    <r>
      <rPr>
        <sz val="11"/>
        <color theme="1"/>
        <rFont val="Calibri"/>
        <family val="2"/>
        <charset val="1"/>
      </rPr>
      <t xml:space="preserve">Modified AASHTO</t>
    </r>
  </si>
  <si>
    <r>
      <rPr>
        <sz val="11"/>
        <color theme="1"/>
        <rFont val="Calibri"/>
        <family val="2"/>
        <charset val="1"/>
      </rPr>
      <t xml:space="preserve">1. 🛡️ </t>
    </r>
    <r>
      <rPr>
        <sz val="11"/>
        <color theme="1"/>
        <rFont val="FreeSans"/>
        <family val="2"/>
      </rPr>
      <t xml:space="preserve">העוגנים במקום ותקינים</t>
    </r>
  </si>
  <si>
    <r>
      <rPr>
        <sz val="11"/>
        <color theme="1"/>
        <rFont val="Calibri"/>
        <family val="2"/>
        <charset val="1"/>
      </rPr>
      <t xml:space="preserve">1. 🛡️ </t>
    </r>
    <r>
      <rPr>
        <sz val="11"/>
        <color theme="1"/>
        <rFont val="FreeSans"/>
        <family val="2"/>
      </rPr>
      <t xml:space="preserve">השלד עומד אנכי ויציב</t>
    </r>
  </si>
  <si>
    <r>
      <rPr>
        <sz val="11"/>
        <color theme="1"/>
        <rFont val="Calibri"/>
        <family val="2"/>
        <charset val="1"/>
      </rPr>
      <t xml:space="preserve">1. 🔧 </t>
    </r>
    <r>
      <rPr>
        <sz val="11"/>
        <color theme="1"/>
        <rFont val="FreeSans"/>
        <family val="2"/>
      </rPr>
      <t xml:space="preserve">הגג אטום למים</t>
    </r>
  </si>
  <si>
    <r>
      <rPr>
        <sz val="11"/>
        <color theme="1"/>
        <rFont val="Calibri"/>
        <family val="2"/>
        <charset val="1"/>
      </rPr>
      <t xml:space="preserve">1. 🔧 </t>
    </r>
    <r>
      <rPr>
        <sz val="11"/>
        <color theme="1"/>
        <rFont val="FreeSans"/>
        <family val="2"/>
      </rPr>
      <t xml:space="preserve">שערים ודלתות</t>
    </r>
  </si>
  <si>
    <r>
      <rPr>
        <sz val="11"/>
        <color theme="1"/>
        <rFont val="Calibri"/>
        <family val="2"/>
        <charset val="1"/>
      </rPr>
      <t xml:space="preserve">1. 🛡️ </t>
    </r>
    <r>
      <rPr>
        <sz val="11"/>
        <color theme="1"/>
        <rFont val="FreeSans"/>
        <family val="2"/>
      </rPr>
      <t xml:space="preserve">תנאי סף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חשמל מחובר ופעיל</t>
    </r>
  </si>
  <si>
    <r>
      <rPr>
        <sz val="11"/>
        <color theme="1"/>
        <rFont val="Calibri"/>
        <family val="2"/>
        <charset val="1"/>
      </rPr>
      <t xml:space="preserve">1. ✅ </t>
    </r>
    <r>
      <rPr>
        <sz val="11"/>
        <color theme="1"/>
        <rFont val="FreeSans"/>
        <family val="2"/>
      </rPr>
      <t xml:space="preserve">שערים </t>
    </r>
    <r>
      <rPr>
        <sz val="11"/>
        <color theme="1"/>
        <rFont val="Calibri"/>
        <family val="2"/>
        <charset val="1"/>
      </rPr>
      <t xml:space="preserve">1-5 </t>
    </r>
    <r>
      <rPr>
        <sz val="11"/>
        <color theme="1"/>
        <rFont val="FreeSans"/>
        <family val="2"/>
      </rPr>
      <t xml:space="preserve">הושלמו ונחתמו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</si>
  <si>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FreeSans"/>
        <family val="2"/>
      </rPr>
      <t xml:space="preserve">המצעים ישרים ומהודקים ויזואלית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אזורים רכים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הגבהים לפי תוכנית</t>
    </r>
  </si>
  <si>
    <r>
      <rPr>
        <sz val="11"/>
        <color theme="1"/>
        <rFont val="Calibri"/>
        <family val="2"/>
        <charset val="1"/>
      </rPr>
      <t xml:space="preserve">2. 🔧 </t>
    </r>
    <r>
      <rPr>
        <sz val="11"/>
        <color theme="1"/>
        <rFont val="FreeSans"/>
        <family val="2"/>
      </rPr>
      <t xml:space="preserve">הרצפה מפולסת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במפלס הנכון ובעובי לפי תוכנית</t>
    </r>
  </si>
  <si>
    <r>
      <rPr>
        <sz val="11"/>
        <color theme="1"/>
        <rFont val="Calibri"/>
        <family val="2"/>
        <charset val="1"/>
      </rPr>
      <t xml:space="preserve">2. 🛡️ </t>
    </r>
    <r>
      <rPr>
        <sz val="11"/>
        <color theme="1"/>
        <rFont val="FreeSans"/>
        <family val="2"/>
      </rPr>
      <t xml:space="preserve">כל החיבורים מהודקים ותקינים</t>
    </r>
  </si>
  <si>
    <r>
      <rPr>
        <sz val="11"/>
        <color theme="1"/>
        <rFont val="Calibri"/>
        <family val="2"/>
        <charset val="1"/>
      </rPr>
      <t xml:space="preserve">2. 🔧 </t>
    </r>
    <r>
      <rPr>
        <sz val="11"/>
        <color theme="1"/>
        <rFont val="FreeSans"/>
        <family val="2"/>
      </rPr>
      <t xml:space="preserve">התקרה כוסתה בצורה ישרה ונאטמה כראוי</t>
    </r>
  </si>
  <si>
    <r>
      <rPr>
        <sz val="11"/>
        <color theme="1"/>
        <rFont val="Calibri"/>
        <family val="2"/>
        <charset val="1"/>
      </rPr>
      <t xml:space="preserve">2. 🔧 </t>
    </r>
    <r>
      <rPr>
        <sz val="11"/>
        <color theme="1"/>
        <rFont val="FreeSans"/>
        <family val="2"/>
      </rPr>
      <t xml:space="preserve">וילונות</t>
    </r>
  </si>
  <si>
    <r>
      <rPr>
        <sz val="11"/>
        <color theme="1"/>
        <rFont val="Calibri"/>
        <family val="2"/>
        <charset val="1"/>
      </rPr>
      <t xml:space="preserve">2. 🔧 </t>
    </r>
    <r>
      <rPr>
        <sz val="11"/>
        <color theme="1"/>
        <rFont val="FreeSans"/>
        <family val="2"/>
      </rPr>
      <t xml:space="preserve">לוח חשמל</t>
    </r>
  </si>
  <si>
    <r>
      <rPr>
        <sz val="11"/>
        <color theme="1"/>
        <rFont val="Calibri"/>
        <family val="2"/>
        <charset val="1"/>
      </rPr>
      <t xml:space="preserve">2. 🔧 </t>
    </r>
    <r>
      <rPr>
        <sz val="11"/>
        <color theme="1"/>
        <rFont val="FreeSans"/>
        <family val="2"/>
      </rPr>
      <t xml:space="preserve">אטימות אוויר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</si>
  <si>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FreeSans"/>
        <family val="2"/>
      </rPr>
      <t xml:space="preserve">העוגנים במיקום לפי 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אנכיים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אורך הברגה תקין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מקובעים לתבנית</t>
    </r>
  </si>
  <si>
    <r>
      <rPr>
        <sz val="11"/>
        <color theme="1"/>
        <rFont val="Calibri"/>
        <family val="2"/>
        <charset val="1"/>
      </rPr>
      <t xml:space="preserve">3. 🔧 </t>
    </r>
    <r>
      <rPr>
        <sz val="11"/>
        <color theme="1"/>
        <rFont val="FreeSans"/>
        <family val="2"/>
      </rPr>
      <t xml:space="preserve">שיפוע הניקוז עובד</t>
    </r>
  </si>
  <si>
    <r>
      <rPr>
        <sz val="11"/>
        <color theme="1"/>
        <rFont val="Calibri"/>
        <family val="2"/>
        <charset val="1"/>
      </rPr>
      <t xml:space="preserve">3. 🛡️ </t>
    </r>
    <r>
      <rPr>
        <sz val="11"/>
        <color theme="1"/>
        <rFont val="FreeSans"/>
        <family val="2"/>
      </rPr>
      <t xml:space="preserve">חיזוקי הרוח מתוחים ופעילים</t>
    </r>
  </si>
  <si>
    <r>
      <rPr>
        <sz val="11"/>
        <color theme="1"/>
        <rFont val="Calibri"/>
        <family val="2"/>
        <charset val="1"/>
      </rPr>
      <t xml:space="preserve">3. 🔧 </t>
    </r>
    <r>
      <rPr>
        <sz val="11"/>
        <color theme="1"/>
        <rFont val="FreeSans"/>
        <family val="2"/>
      </rPr>
      <t xml:space="preserve">הפנלים מותקנים ואטומים</t>
    </r>
  </si>
  <si>
    <r>
      <rPr>
        <sz val="11"/>
        <color theme="1"/>
        <rFont val="Calibri"/>
        <family val="2"/>
        <charset val="1"/>
      </rPr>
      <t xml:space="preserve">3. 🔧 </t>
    </r>
    <r>
      <rPr>
        <sz val="11"/>
        <color theme="1"/>
        <rFont val="FreeSans"/>
        <family val="2"/>
      </rPr>
      <t xml:space="preserve">דמפרים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כניסות אוויר</t>
    </r>
  </si>
  <si>
    <r>
      <rPr>
        <sz val="11"/>
        <color theme="1"/>
        <rFont val="Calibri"/>
        <family val="2"/>
        <charset val="1"/>
      </rPr>
      <t xml:space="preserve">3. 🔧 </t>
    </r>
    <r>
      <rPr>
        <sz val="11"/>
        <color theme="1"/>
        <rFont val="FreeSans"/>
        <family val="2"/>
      </rPr>
      <t xml:space="preserve">תאורה</t>
    </r>
  </si>
  <si>
    <r>
      <rPr>
        <sz val="11"/>
        <color theme="1"/>
        <rFont val="Calibri"/>
        <family val="2"/>
        <charset val="1"/>
      </rPr>
      <t xml:space="preserve">3. 🔧 </t>
    </r>
    <r>
      <rPr>
        <sz val="11"/>
        <color theme="1"/>
        <rFont val="FreeSans"/>
        <family val="2"/>
      </rPr>
      <t xml:space="preserve">אטימות אור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</si>
  <si>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FreeSans"/>
        <family val="2"/>
      </rPr>
      <t xml:space="preserve">כל השרוולים והחדירות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גז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במקום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לפי 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פתוחים ומסומנים</t>
    </r>
  </si>
  <si>
    <r>
      <rPr>
        <sz val="11"/>
        <color theme="1"/>
        <rFont val="Calibri"/>
        <family val="2"/>
        <charset val="1"/>
      </rPr>
      <t xml:space="preserve">4. 🔧 </t>
    </r>
    <r>
      <rPr>
        <sz val="11"/>
        <color theme="1"/>
        <rFont val="FreeSans"/>
        <family val="2"/>
      </rPr>
      <t xml:space="preserve">תעלת הזבל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פתחי ניקוז תקינים</t>
    </r>
  </si>
  <si>
    <r>
      <rPr>
        <sz val="11"/>
        <color theme="1"/>
        <rFont val="Calibri"/>
        <family val="2"/>
        <charset val="1"/>
      </rPr>
      <t xml:space="preserve">4. 🛡️ </t>
    </r>
    <r>
      <rPr>
        <sz val="11"/>
        <color theme="1"/>
        <rFont val="FreeSans"/>
        <family val="2"/>
      </rPr>
      <t xml:space="preserve">קורות הרפד ישרות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מפולסות ובמפלס אחיד</t>
    </r>
  </si>
  <si>
    <r>
      <rPr>
        <sz val="11"/>
        <color theme="1"/>
        <rFont val="Calibri"/>
        <family val="2"/>
        <charset val="1"/>
      </rPr>
      <t xml:space="preserve">4. 🔧 </t>
    </r>
    <r>
      <rPr>
        <sz val="11"/>
        <color theme="1"/>
        <rFont val="FreeSans"/>
        <family val="2"/>
      </rPr>
      <t xml:space="preserve">האטימה בחיבור בין פנל לקורה תקינה</t>
    </r>
  </si>
  <si>
    <r>
      <rPr>
        <sz val="11"/>
        <color theme="1"/>
        <rFont val="Calibri"/>
        <family val="2"/>
        <charset val="1"/>
      </rPr>
      <t xml:space="preserve">4. 🔧 </t>
    </r>
    <r>
      <rPr>
        <sz val="11"/>
        <color theme="1"/>
        <rFont val="FreeSans"/>
        <family val="2"/>
      </rPr>
      <t xml:space="preserve">מאווררים</t>
    </r>
  </si>
  <si>
    <r>
      <rPr>
        <sz val="11"/>
        <color theme="1"/>
        <rFont val="Calibri"/>
        <family val="2"/>
        <charset val="1"/>
      </rPr>
      <t xml:space="preserve">4. 🔧 </t>
    </r>
    <r>
      <rPr>
        <sz val="11"/>
        <color theme="1"/>
        <rFont val="FreeSans"/>
        <family val="2"/>
      </rPr>
      <t xml:space="preserve">בקר אקלים</t>
    </r>
  </si>
  <si>
    <r>
      <rPr>
        <sz val="11"/>
        <color theme="1"/>
        <rFont val="Calibri"/>
        <family val="2"/>
        <charset val="1"/>
      </rPr>
      <t xml:space="preserve">4. 🔧 </t>
    </r>
    <r>
      <rPr>
        <sz val="11"/>
        <color theme="1"/>
        <rFont val="FreeSans"/>
        <family val="2"/>
      </rPr>
      <t xml:space="preserve">פיזור אוויר בנר עשן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</si>
  <si>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FreeSans"/>
        <family val="2"/>
      </rPr>
      <t xml:space="preserve">הזיון לפי תוכנית</t>
    </r>
  </si>
  <si>
    <r>
      <rPr>
        <sz val="11"/>
        <color theme="1"/>
        <rFont val="Calibri"/>
        <family val="2"/>
        <charset val="1"/>
      </rPr>
      <t xml:space="preserve">5. 🛡️ </t>
    </r>
    <r>
      <rPr>
        <sz val="11"/>
        <color theme="1"/>
        <rFont val="FreeSans"/>
        <family val="2"/>
      </rPr>
      <t xml:space="preserve">הבטון איכותי ובחוזק לפי הגדרת מחלקת ההנדסה</t>
    </r>
  </si>
  <si>
    <r>
      <rPr>
        <sz val="11"/>
        <color theme="1"/>
        <rFont val="Calibri"/>
        <family val="2"/>
        <charset val="1"/>
      </rPr>
      <t xml:space="preserve">5. 🛡️ </t>
    </r>
    <r>
      <rPr>
        <sz val="11"/>
        <color theme="1"/>
        <rFont val="FreeSans"/>
        <family val="2"/>
      </rPr>
      <t xml:space="preserve">נקודות תלייה וקונסטרוקציית משנה לציוד תלוי</t>
    </r>
  </si>
  <si>
    <r>
      <rPr>
        <sz val="11"/>
        <color theme="1"/>
        <rFont val="Calibri"/>
        <family val="2"/>
        <charset val="1"/>
      </rPr>
      <t xml:space="preserve">5. 🛡️ </t>
    </r>
    <r>
      <rPr>
        <sz val="11"/>
        <color theme="1"/>
        <rFont val="FreeSans"/>
        <family val="2"/>
      </rPr>
      <t xml:space="preserve">הבידוד תקין ורציף</t>
    </r>
  </si>
  <si>
    <r>
      <rPr>
        <sz val="11"/>
        <color theme="1"/>
        <rFont val="Calibri"/>
        <family val="2"/>
        <charset val="1"/>
      </rPr>
      <t xml:space="preserve">5. 🔧 </t>
    </r>
    <r>
      <rPr>
        <sz val="11"/>
        <color theme="1"/>
        <rFont val="FreeSans"/>
        <family val="2"/>
      </rPr>
      <t xml:space="preserve">סעיף מותנה</t>
    </r>
  </si>
  <si>
    <r>
      <rPr>
        <sz val="11"/>
        <color theme="1"/>
        <rFont val="Calibri"/>
        <family val="2"/>
        <charset val="1"/>
      </rPr>
      <t xml:space="preserve">5. 🔧 </t>
    </r>
    <r>
      <rPr>
        <sz val="11"/>
        <color theme="1"/>
        <rFont val="FreeSans"/>
        <family val="2"/>
      </rPr>
      <t xml:space="preserve">מערכת הגידול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אביארי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כלובים או רצפה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</si>
  <si>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5. 🔧 </t>
    </r>
    <r>
      <rPr>
        <sz val="11"/>
        <color theme="1"/>
        <rFont val="FreeSans"/>
        <family val="2"/>
      </rPr>
      <t xml:space="preserve">לחץ סטטי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מהבקר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</si>
  <si>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התבניות יציבות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במידות ובמפלסים לפי תוכנית</t>
    </r>
  </si>
  <si>
    <r>
      <rPr>
        <sz val="11"/>
        <color theme="1"/>
        <rFont val="Calibri"/>
        <family val="2"/>
        <charset val="1"/>
      </rPr>
      <t xml:space="preserve">6. 📄 </t>
    </r>
    <r>
      <rPr>
        <sz val="11"/>
        <color theme="1"/>
        <rFont val="FreeSans"/>
        <family val="2"/>
      </rPr>
      <t xml:space="preserve">מעקב פתוח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תוצאות בדיקת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FreeSans"/>
        <family val="2"/>
      </rPr>
      <t xml:space="preserve">יום יצורפו לתיק וייסגרו בשער 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FreeSans"/>
        <family val="2"/>
      </rPr>
      <t xml:space="preserve">תוצאה לא תקינה</t>
    </r>
  </si>
  <si>
    <r>
      <rPr>
        <sz val="11"/>
        <color theme="1"/>
        <rFont val="Calibri"/>
        <family val="2"/>
        <charset val="1"/>
      </rPr>
      <t xml:space="preserve">6. 🔧 </t>
    </r>
    <r>
      <rPr>
        <sz val="11"/>
        <color theme="1"/>
        <rFont val="FreeSans"/>
        <family val="2"/>
      </rPr>
      <t xml:space="preserve">הגיאומטריה תקינה</t>
    </r>
  </si>
  <si>
    <r>
      <rPr>
        <sz val="11"/>
        <color theme="1"/>
        <rFont val="Calibri"/>
        <family val="2"/>
        <charset val="1"/>
      </rPr>
      <t xml:space="preserve">6. 🔧 </t>
    </r>
    <r>
      <rPr>
        <sz val="11"/>
        <color theme="1"/>
        <rFont val="FreeSans"/>
        <family val="2"/>
      </rPr>
      <t xml:space="preserve">הפלשונגים הותקנו כראוי</t>
    </r>
  </si>
  <si>
    <r>
      <rPr>
        <sz val="11"/>
        <color theme="1"/>
        <rFont val="Calibri"/>
        <family val="2"/>
        <charset val="1"/>
      </rPr>
      <t xml:space="preserve">6. 🔧 </t>
    </r>
    <r>
      <rPr>
        <sz val="11"/>
        <color theme="1"/>
        <rFont val="FreeSans"/>
        <family val="2"/>
      </rPr>
      <t xml:space="preserve">מזרוני צינון</t>
    </r>
  </si>
  <si>
    <r>
      <rPr>
        <sz val="11"/>
        <color theme="1"/>
        <rFont val="Calibri"/>
        <family val="2"/>
        <charset val="1"/>
      </rPr>
      <t xml:space="preserve">6. 🔧 </t>
    </r>
    <r>
      <rPr>
        <sz val="11"/>
        <color theme="1"/>
        <rFont val="FreeSans"/>
        <family val="2"/>
      </rPr>
      <t xml:space="preserve">מערכת ההטלה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איסוף ביצים</t>
    </r>
  </si>
  <si>
    <r>
      <rPr>
        <sz val="11"/>
        <color theme="1"/>
        <rFont val="Calibri"/>
        <family val="2"/>
        <charset val="1"/>
      </rPr>
      <t xml:space="preserve">6. 🔍 </t>
    </r>
    <r>
      <rPr>
        <sz val="11"/>
        <color theme="1"/>
        <rFont val="FreeSans"/>
        <family val="2"/>
      </rPr>
      <t xml:space="preserve">מהירות אוויר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בדיקת עומק מותנית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</si>
  <si>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FreeSans"/>
        <family val="2"/>
      </rPr>
      <t xml:space="preserve">תיעוד צילומי מלא בוצע לפני היציקה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עוגנים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שרוולים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זיון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ונשמר בתיק הפרויקט</t>
    </r>
  </si>
  <si>
    <r>
      <rPr>
        <sz val="11"/>
        <color theme="1"/>
        <rFont val="Calibri"/>
        <family val="2"/>
        <charset val="1"/>
      </rPr>
      <t xml:space="preserve">7. 🛡️ </t>
    </r>
    <r>
      <rPr>
        <sz val="11"/>
        <color theme="1"/>
        <rFont val="FreeSans"/>
        <family val="2"/>
      </rPr>
      <t xml:space="preserve">אשפרה בוצעה</t>
    </r>
  </si>
  <si>
    <r>
      <rPr>
        <sz val="11"/>
        <color theme="1"/>
        <rFont val="Calibri"/>
        <family val="2"/>
        <charset val="1"/>
      </rPr>
      <t xml:space="preserve">7. 🛡️ </t>
    </r>
    <r>
      <rPr>
        <sz val="11"/>
        <color theme="1"/>
        <rFont val="FreeSans"/>
        <family val="2"/>
      </rPr>
      <t xml:space="preserve">הגלוון תקין</t>
    </r>
  </si>
  <si>
    <r>
      <rPr>
        <sz val="11"/>
        <color theme="1"/>
        <rFont val="Calibri"/>
        <family val="2"/>
        <charset val="1"/>
      </rPr>
      <t xml:space="preserve">7. 🎨 RAL </t>
    </r>
    <r>
      <rPr>
        <sz val="11"/>
        <color theme="1"/>
        <rFont val="FreeSans"/>
        <family val="2"/>
      </rPr>
      <t xml:space="preserve">ואחידות גוון</t>
    </r>
  </si>
  <si>
    <r>
      <rPr>
        <sz val="11"/>
        <color theme="1"/>
        <rFont val="Calibri"/>
        <family val="2"/>
        <charset val="1"/>
      </rPr>
      <t xml:space="preserve">7. 🛡️ </t>
    </r>
    <r>
      <rPr>
        <sz val="11"/>
        <color theme="1"/>
        <rFont val="FreeSans"/>
        <family val="2"/>
      </rPr>
      <t xml:space="preserve">רשתות לול</t>
    </r>
  </si>
  <si>
    <r>
      <rPr>
        <sz val="11"/>
        <color theme="1"/>
        <rFont val="Calibri"/>
        <family val="2"/>
        <charset val="1"/>
      </rPr>
      <t xml:space="preserve">7. 🔧 </t>
    </r>
    <r>
      <rPr>
        <sz val="11"/>
        <color theme="1"/>
        <rFont val="FreeSans"/>
        <family val="2"/>
      </rPr>
      <t xml:space="preserve">מסועי ביצים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זבל</t>
    </r>
  </si>
  <si>
    <r>
      <rPr>
        <sz val="11"/>
        <color theme="1"/>
        <rFont val="Calibri"/>
        <family val="2"/>
        <charset val="1"/>
      </rPr>
      <t xml:space="preserve">7. 🔧 </t>
    </r>
    <r>
      <rPr>
        <sz val="11"/>
        <color theme="1"/>
        <rFont val="FreeSans"/>
        <family val="2"/>
      </rPr>
      <t xml:space="preserve">מערכת ההזנה מקצה לקצה</t>
    </r>
  </si>
  <si>
    <r>
      <rPr>
        <sz val="11"/>
        <color theme="1"/>
        <rFont val="Calibri"/>
        <family val="2"/>
        <charset val="1"/>
      </rPr>
      <t xml:space="preserve">8. 🎨 </t>
    </r>
    <r>
      <rPr>
        <sz val="11"/>
        <color theme="1"/>
        <rFont val="FreeSans"/>
        <family val="2"/>
      </rPr>
      <t xml:space="preserve">גימור ונראות הרצפה</t>
    </r>
  </si>
  <si>
    <r>
      <rPr>
        <sz val="11"/>
        <color theme="1"/>
        <rFont val="Calibri"/>
        <family val="2"/>
        <charset val="1"/>
      </rPr>
      <t xml:space="preserve">8. 📄 </t>
    </r>
    <r>
      <rPr>
        <sz val="11"/>
        <color theme="1"/>
        <rFont val="FreeSans"/>
        <family val="2"/>
      </rPr>
      <t xml:space="preserve">סגירת מעקב בטון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תוצאות בדיקת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FreeSans"/>
        <family val="2"/>
      </rPr>
      <t xml:space="preserve">יום התקבלו ותקינות</t>
    </r>
  </si>
  <si>
    <r>
      <rPr>
        <sz val="11"/>
        <color theme="1"/>
        <rFont val="Calibri"/>
        <family val="2"/>
        <charset val="1"/>
      </rPr>
      <t xml:space="preserve">8. 🎨 </t>
    </r>
    <r>
      <rPr>
        <sz val="11"/>
        <color theme="1"/>
        <rFont val="FreeSans"/>
        <family val="2"/>
      </rPr>
      <t xml:space="preserve">גימור ונראות המעטפת</t>
    </r>
  </si>
  <si>
    <r>
      <rPr>
        <sz val="11"/>
        <color theme="1"/>
        <rFont val="Calibri"/>
        <family val="2"/>
        <charset val="1"/>
      </rPr>
      <t xml:space="preserve">8. 🛡️ </t>
    </r>
    <r>
      <rPr>
        <sz val="11"/>
        <color theme="1"/>
        <rFont val="FreeSans"/>
        <family val="2"/>
      </rPr>
      <t xml:space="preserve">קיבועים ומסגרות</t>
    </r>
  </si>
  <si>
    <r>
      <rPr>
        <sz val="11"/>
        <color theme="1"/>
        <rFont val="Calibri"/>
        <family val="2"/>
        <charset val="1"/>
      </rPr>
      <t xml:space="preserve">8. 🔧 </t>
    </r>
    <r>
      <rPr>
        <sz val="11"/>
        <color theme="1"/>
        <rFont val="FreeSans"/>
        <family val="2"/>
      </rPr>
      <t xml:space="preserve">קווי הזנה כולל סילו וקו הולכה</t>
    </r>
  </si>
  <si>
    <r>
      <rPr>
        <sz val="11"/>
        <color theme="1"/>
        <rFont val="Calibri"/>
        <family val="2"/>
        <charset val="1"/>
      </rPr>
      <t xml:space="preserve">8. 🛡️ </t>
    </r>
    <r>
      <rPr>
        <sz val="11"/>
        <color theme="1"/>
        <rFont val="FreeSans"/>
        <family val="2"/>
      </rPr>
      <t xml:space="preserve">תרחיש חירום</t>
    </r>
  </si>
  <si>
    <r>
      <rPr>
        <sz val="11"/>
        <color theme="1"/>
        <rFont val="Calibri"/>
        <family val="2"/>
        <charset val="1"/>
      </rPr>
      <t xml:space="preserve">9. 📄 </t>
    </r>
    <r>
      <rPr>
        <sz val="11"/>
        <color theme="1"/>
        <rFont val="FreeSans"/>
        <family val="2"/>
      </rPr>
      <t xml:space="preserve">גיליון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טרום יציקה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מולא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נחתם ומתועד בצילומים</t>
    </r>
  </si>
  <si>
    <r>
      <rPr>
        <sz val="11"/>
        <color theme="1"/>
        <rFont val="Calibri"/>
        <family val="2"/>
        <charset val="1"/>
      </rPr>
      <t xml:space="preserve">9. 🎨 </t>
    </r>
    <r>
      <rPr>
        <sz val="11"/>
        <color theme="1"/>
        <rFont val="FreeSans"/>
        <family val="2"/>
      </rPr>
      <t xml:space="preserve">גימור ונראות הקונסטרוקציה</t>
    </r>
  </si>
  <si>
    <r>
      <rPr>
        <sz val="11"/>
        <color theme="1"/>
        <rFont val="Calibri"/>
        <family val="2"/>
        <charset val="1"/>
      </rPr>
      <t xml:space="preserve">9. 📝 </t>
    </r>
    <r>
      <rPr>
        <sz val="11"/>
        <color theme="1"/>
        <rFont val="FreeSans"/>
        <family val="2"/>
      </rPr>
      <t xml:space="preserve">הערות כלליות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סטיות מהתכנון</t>
    </r>
  </si>
  <si>
    <r>
      <rPr>
        <sz val="11"/>
        <color theme="1"/>
        <rFont val="Calibri"/>
        <family val="2"/>
        <charset val="1"/>
      </rPr>
      <t xml:space="preserve">9. 🎨 </t>
    </r>
    <r>
      <rPr>
        <sz val="11"/>
        <color theme="1"/>
        <rFont val="FreeSans"/>
        <family val="2"/>
      </rPr>
      <t xml:space="preserve">גימור ונראות</t>
    </r>
  </si>
  <si>
    <r>
      <rPr>
        <sz val="11"/>
        <color theme="1"/>
        <rFont val="Calibri"/>
        <family val="2"/>
        <charset val="1"/>
      </rPr>
      <t xml:space="preserve">9. 🔧 </t>
    </r>
    <r>
      <rPr>
        <sz val="11"/>
        <color theme="1"/>
        <rFont val="FreeSans"/>
        <family val="2"/>
      </rPr>
      <t xml:space="preserve">קווי שתייה</t>
    </r>
  </si>
  <si>
    <r>
      <rPr>
        <sz val="11"/>
        <color theme="1"/>
        <rFont val="Calibri"/>
        <family val="2"/>
        <charset val="1"/>
      </rPr>
      <t xml:space="preserve">9. 🛡️ </t>
    </r>
    <r>
      <rPr>
        <sz val="11"/>
        <color theme="1"/>
        <rFont val="FreeSans"/>
        <family val="2"/>
      </rPr>
      <t xml:space="preserve">גנרטור חירום ומערכת התראה</t>
    </r>
  </si>
  <si>
    <r>
      <rPr>
        <sz val="11"/>
        <color theme="1"/>
        <rFont val="Calibri"/>
        <family val="2"/>
        <charset val="1"/>
      </rPr>
      <t xml:space="preserve">10. 📝 </t>
    </r>
    <r>
      <rPr>
        <sz val="11"/>
        <color theme="1"/>
        <rFont val="FreeSans"/>
        <family val="2"/>
      </rPr>
      <t xml:space="preserve">הערות כלליות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סטיות מהתכנון</t>
    </r>
  </si>
  <si>
    <r>
      <rPr>
        <sz val="11"/>
        <color theme="1"/>
        <rFont val="Calibri"/>
        <family val="2"/>
        <charset val="1"/>
      </rPr>
      <t xml:space="preserve">10. 🔧 </t>
    </r>
    <r>
      <rPr>
        <sz val="11"/>
        <color theme="1"/>
        <rFont val="FreeSans"/>
        <family val="2"/>
      </rPr>
      <t xml:space="preserve">ראש מערכת המים</t>
    </r>
  </si>
  <si>
    <r>
      <rPr>
        <sz val="11"/>
        <color theme="1"/>
        <rFont val="Calibri"/>
        <family val="2"/>
        <charset val="1"/>
      </rPr>
      <t xml:space="preserve">10. 🎨 </t>
    </r>
    <r>
      <rPr>
        <sz val="11"/>
        <color theme="1"/>
        <rFont val="FreeSans"/>
        <family val="2"/>
      </rPr>
      <t xml:space="preserve">ניקיון הלול מבפנים</t>
    </r>
  </si>
  <si>
    <r>
      <rPr>
        <sz val="11"/>
        <color theme="1"/>
        <rFont val="Calibri"/>
        <family val="2"/>
        <charset val="1"/>
      </rPr>
      <t xml:space="preserve">11. 🔧 </t>
    </r>
    <r>
      <rPr>
        <sz val="11"/>
        <color theme="1"/>
        <rFont val="FreeSans"/>
        <family val="2"/>
      </rPr>
      <t xml:space="preserve">חימום</t>
    </r>
  </si>
  <si>
    <r>
      <rPr>
        <sz val="11"/>
        <color theme="1"/>
        <rFont val="Calibri"/>
        <family val="2"/>
        <charset val="1"/>
      </rPr>
      <t xml:space="preserve">11. 🎨 </t>
    </r>
    <r>
      <rPr>
        <sz val="11"/>
        <color theme="1"/>
        <rFont val="FreeSans"/>
        <family val="2"/>
      </rPr>
      <t xml:space="preserve">סביבת האתר</t>
    </r>
  </si>
  <si>
    <r>
      <rPr>
        <sz val="11"/>
        <color theme="1"/>
        <rFont val="Calibri"/>
        <family val="2"/>
        <charset val="1"/>
      </rPr>
      <t xml:space="preserve">12. 🔧 </t>
    </r>
    <r>
      <rPr>
        <sz val="11"/>
        <color theme="1"/>
        <rFont val="FreeSans"/>
        <family val="2"/>
      </rPr>
      <t xml:space="preserve">מאווררים רצים</t>
    </r>
  </si>
  <si>
    <r>
      <rPr>
        <sz val="11"/>
        <color theme="1"/>
        <rFont val="Calibri"/>
        <family val="2"/>
        <charset val="1"/>
      </rPr>
      <t xml:space="preserve">12. 🎨 </t>
    </r>
    <r>
      <rPr>
        <sz val="11"/>
        <color theme="1"/>
        <rFont val="FreeSans"/>
        <family val="2"/>
      </rPr>
      <t xml:space="preserve">החזרת ציוד וחלקים מיותרים למחסן</t>
    </r>
  </si>
  <si>
    <r>
      <rPr>
        <sz val="11"/>
        <color theme="1"/>
        <rFont val="Calibri"/>
        <family val="2"/>
        <charset val="1"/>
      </rPr>
      <t xml:space="preserve">13. 🔧 </t>
    </r>
    <r>
      <rPr>
        <sz val="11"/>
        <color theme="1"/>
        <rFont val="FreeSans"/>
        <family val="2"/>
      </rPr>
      <t xml:space="preserve">צינון רץ</t>
    </r>
  </si>
  <si>
    <r>
      <rPr>
        <sz val="11"/>
        <color theme="1"/>
        <rFont val="Calibri"/>
        <family val="2"/>
        <charset val="1"/>
      </rPr>
      <t xml:space="preserve">13. 📄 </t>
    </r>
    <r>
      <rPr>
        <sz val="11"/>
        <color theme="1"/>
        <rFont val="FreeSans"/>
        <family val="2"/>
      </rPr>
      <t xml:space="preserve">ריכוז הערות וסטיות משערים </t>
    </r>
    <r>
      <rPr>
        <sz val="11"/>
        <color theme="1"/>
        <rFont val="Calibri"/>
        <family val="2"/>
        <charset val="1"/>
      </rPr>
      <t xml:space="preserve">1-5</t>
    </r>
  </si>
  <si>
    <r>
      <rPr>
        <sz val="11"/>
        <color theme="1"/>
        <rFont val="Calibri"/>
        <family val="2"/>
        <charset val="1"/>
      </rPr>
      <t xml:space="preserve">14. 🔧 </t>
    </r>
    <r>
      <rPr>
        <sz val="11"/>
        <color theme="1"/>
        <rFont val="FreeSans"/>
        <family val="2"/>
      </rPr>
      <t xml:space="preserve">וילונות ודמפרים</t>
    </r>
  </si>
  <si>
    <r>
      <rPr>
        <sz val="11"/>
        <color theme="1"/>
        <rFont val="Calibri"/>
        <family val="2"/>
        <charset val="1"/>
      </rPr>
      <t xml:space="preserve">14. 📄 </t>
    </r>
    <r>
      <rPr>
        <sz val="11"/>
        <color theme="1"/>
        <rFont val="FreeSans"/>
        <family val="2"/>
      </rPr>
      <t xml:space="preserve">תיעוד מלא</t>
    </r>
  </si>
  <si>
    <r>
      <rPr>
        <sz val="11"/>
        <color theme="1"/>
        <rFont val="Calibri"/>
        <family val="2"/>
        <charset val="1"/>
      </rPr>
      <t xml:space="preserve">15. 🛡️ </t>
    </r>
    <r>
      <rPr>
        <sz val="11"/>
        <color theme="1"/>
        <rFont val="FreeSans"/>
        <family val="2"/>
      </rPr>
      <t xml:space="preserve">הפלת וילון חירום</t>
    </r>
  </si>
  <si>
    <r>
      <rPr>
        <sz val="11"/>
        <color theme="1"/>
        <rFont val="Calibri"/>
        <family val="2"/>
        <charset val="1"/>
      </rPr>
      <t xml:space="preserve">15. 📄 </t>
    </r>
    <r>
      <rPr>
        <sz val="11"/>
        <color theme="1"/>
        <rFont val="FreeSans"/>
        <family val="2"/>
      </rPr>
      <t xml:space="preserve">אישור בודק חשמל מוסמך</t>
    </r>
  </si>
  <si>
    <r>
      <rPr>
        <sz val="11"/>
        <color theme="1"/>
        <rFont val="Calibri"/>
        <family val="2"/>
        <charset val="1"/>
      </rPr>
      <t xml:space="preserve">16. 🔧 </t>
    </r>
    <r>
      <rPr>
        <sz val="11"/>
        <color theme="1"/>
        <rFont val="FreeSans"/>
        <family val="2"/>
      </rPr>
      <t xml:space="preserve">ציוד גידול רץ</t>
    </r>
  </si>
  <si>
    <r>
      <rPr>
        <sz val="11"/>
        <color theme="1"/>
        <rFont val="Calibri"/>
        <family val="2"/>
        <charset val="1"/>
      </rPr>
      <t xml:space="preserve">16. 📄 </t>
    </r>
    <r>
      <rPr>
        <sz val="11"/>
        <color theme="1"/>
        <rFont val="FreeSans"/>
        <family val="2"/>
      </rPr>
      <t xml:space="preserve">ספר לולן נמסר ללקוח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הלקוח חתם על טופס מסירה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הטופס החתום הועבר למחלקת ההנדסה לתיעוד</t>
    </r>
  </si>
  <si>
    <r>
      <rPr>
        <sz val="11"/>
        <color theme="1"/>
        <rFont val="Calibri"/>
        <family val="2"/>
        <charset val="1"/>
      </rPr>
      <t xml:space="preserve">17. 🛡️ </t>
    </r>
    <r>
      <rPr>
        <sz val="11"/>
        <color theme="1"/>
        <rFont val="FreeSans"/>
        <family val="2"/>
      </rPr>
      <t xml:space="preserve">אימות מול ספק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סופרוויזר</t>
    </r>
  </si>
  <si>
    <r>
      <rPr>
        <sz val="11"/>
        <color theme="1"/>
        <rFont val="Calibri"/>
        <family val="2"/>
        <charset val="1"/>
      </rPr>
      <t xml:space="preserve">17. ✍️ </t>
    </r>
    <r>
      <rPr>
        <sz val="11"/>
        <color theme="1"/>
        <rFont val="FreeSans"/>
        <family val="2"/>
      </rPr>
      <t xml:space="preserve">אישור סמנכ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 תפעול</t>
    </r>
  </si>
  <si>
    <r>
      <rPr>
        <sz val="11"/>
        <color theme="1"/>
        <rFont val="Calibri"/>
        <family val="2"/>
        <charset val="1"/>
      </rPr>
      <t xml:space="preserve">18. 🎨 </t>
    </r>
    <r>
      <rPr>
        <sz val="11"/>
        <color theme="1"/>
        <rFont val="FreeSans"/>
        <family val="2"/>
      </rPr>
      <t xml:space="preserve">גימור ונראות</t>
    </r>
  </si>
  <si>
    <r>
      <rPr>
        <sz val="11"/>
        <color theme="1"/>
        <rFont val="Calibri"/>
        <family val="2"/>
        <charset val="1"/>
      </rPr>
      <t xml:space="preserve">18. 📝 </t>
    </r>
    <r>
      <rPr>
        <sz val="11"/>
        <color theme="1"/>
        <rFont val="FreeSans"/>
        <family val="2"/>
      </rPr>
      <t xml:space="preserve">הערות כלליות</t>
    </r>
  </si>
  <si>
    <r>
      <rPr>
        <sz val="11"/>
        <color theme="1"/>
        <rFont val="Calibri"/>
        <family val="2"/>
        <charset val="1"/>
      </rPr>
      <t xml:space="preserve">19. 📝 </t>
    </r>
    <r>
      <rPr>
        <sz val="11"/>
        <color theme="1"/>
        <rFont val="FreeSans"/>
        <family val="2"/>
      </rPr>
      <t xml:space="preserve">הערות כלליות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סטיות מהתכנון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</si>
</sst>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theme="1"/>
      <name val="FreeSans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DEADA"/>
      </patternFill>
    </fill>
    <fill>
      <patternFill patternType="solid">
        <fgColor rgb="FFFBE4E4"/>
        <bgColor rgb="FFFDEADA"/>
      </patternFill>
    </fill>
    <fill>
      <patternFill patternType="solid">
        <fgColor rgb="FFF2F2F2"/>
        <bgColor rgb="FFFDEADA"/>
      </patternFill>
    </fill>
    <fill>
      <patternFill patternType="solid">
        <fgColor rgb="FFFDEADA"/>
        <bgColor rgb="FFFBE4E4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DEADA"/>
      <rgbColor rgb="FFFBE4E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</row>
    <row r="4" customFormat="false" ht="18" hidden="false" customHeight="true" outlineLevel="0" collapsed="false">
      <c r="A4" s="2" t="s">
        <v>3</v>
      </c>
    </row>
    <row r="5" customFormat="false" ht="27.75" hidden="false" customHeight="true" outlineLevel="0" collapsed="false">
      <c r="A5" s="3" t="s">
        <v>4</v>
      </c>
    </row>
    <row r="6" customFormat="false" ht="27.75" hidden="false" customHeight="true" outlineLevel="0" collapsed="false">
      <c r="A6" s="3" t="s">
        <v>5</v>
      </c>
    </row>
    <row r="7" customFormat="false" ht="18" hidden="false" customHeight="true" outlineLevel="0" collapsed="false">
      <c r="A7" s="2" t="s">
        <v>6</v>
      </c>
    </row>
    <row r="8" customFormat="false" ht="42" hidden="false" customHeight="true" outlineLevel="0" collapsed="false">
      <c r="A8" s="3" t="s">
        <v>7</v>
      </c>
    </row>
    <row r="9" customFormat="false" ht="27.75" hidden="false" customHeight="true" outlineLevel="0" collapsed="false">
      <c r="A9" s="3" t="s">
        <v>8</v>
      </c>
    </row>
    <row r="10" customFormat="false" ht="18" hidden="false" customHeight="true" outlineLevel="0" collapsed="false">
      <c r="A10" s="2" t="s">
        <v>9</v>
      </c>
    </row>
    <row r="11" customFormat="false" ht="27.75" hidden="false" customHeight="true" outlineLevel="0" collapsed="false">
      <c r="A11" s="3" t="s">
        <v>10</v>
      </c>
    </row>
    <row r="12" customFormat="false" ht="27.75" hidden="false" customHeight="true" outlineLevel="0" collapsed="false">
      <c r="A12" s="3" t="s">
        <v>11</v>
      </c>
    </row>
    <row r="13" customFormat="false" ht="18" hidden="false" customHeight="true" outlineLevel="0" collapsed="false">
      <c r="A13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4" t="s">
        <v>13</v>
      </c>
      <c r="B1" s="4"/>
      <c r="C1" s="4"/>
      <c r="D1" s="4"/>
      <c r="E1" s="4"/>
      <c r="F1" s="4"/>
    </row>
    <row r="2" customFormat="false" ht="19.5" hidden="false" customHeight="true" outlineLevel="0" collapsed="false">
      <c r="A2" s="5" t="s">
        <v>14</v>
      </c>
      <c r="B2" s="6"/>
    </row>
    <row r="3" customFormat="false" ht="19.5" hidden="false" customHeight="true" outlineLevel="0" collapsed="false">
      <c r="A3" s="5" t="s">
        <v>15</v>
      </c>
      <c r="B3" s="6"/>
    </row>
    <row r="4" customFormat="false" ht="19.5" hidden="false" customHeight="true" outlineLevel="0" collapsed="false">
      <c r="A4" s="5" t="s">
        <v>16</v>
      </c>
      <c r="B4" s="6"/>
    </row>
    <row r="5" customFormat="false" ht="19.5" hidden="false" customHeight="true" outlineLevel="0" collapsed="false">
      <c r="A5" s="5" t="s">
        <v>17</v>
      </c>
      <c r="B5" s="6"/>
    </row>
    <row r="6" customFormat="false" ht="19.5" hidden="false" customHeight="true" outlineLevel="0" collapsed="false">
      <c r="A6" s="5" t="s">
        <v>18</v>
      </c>
      <c r="B6" s="6"/>
    </row>
    <row r="7" customFormat="false" ht="19.5" hidden="false" customHeight="true" outlineLevel="0" collapsed="false">
      <c r="A7" s="5" t="s">
        <v>19</v>
      </c>
      <c r="B7" s="6"/>
    </row>
    <row r="8" customFormat="false" ht="19.5" hidden="false" customHeight="true" outlineLevel="0" collapsed="false">
      <c r="A8" s="5" t="s">
        <v>20</v>
      </c>
      <c r="B8" s="6"/>
    </row>
    <row r="9" customFormat="false" ht="19.5" hidden="false" customHeight="true" outlineLevel="0" collapsed="false">
      <c r="A9" s="5" t="s">
        <v>21</v>
      </c>
      <c r="B9" s="6"/>
    </row>
    <row r="10" customFormat="false" ht="19.5" hidden="false" customHeight="true" outlineLevel="0" collapsed="false">
      <c r="A10" s="5" t="s">
        <v>22</v>
      </c>
      <c r="B10" s="6"/>
    </row>
    <row r="11" customFormat="false" ht="19.5" hidden="false" customHeight="true" outlineLevel="0" collapsed="false">
      <c r="A11" s="5" t="s">
        <v>23</v>
      </c>
      <c r="B11" s="6"/>
    </row>
    <row r="12" customFormat="false" ht="19.5" hidden="false" customHeight="true" outlineLevel="0" collapsed="false">
      <c r="A12" s="5" t="s">
        <v>24</v>
      </c>
      <c r="B12" s="6"/>
    </row>
    <row r="14" customFormat="false" ht="25.5" hidden="false" customHeight="true" outlineLevel="0" collapsed="false">
      <c r="A14" s="4" t="s">
        <v>25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7" t="s">
        <v>26</v>
      </c>
      <c r="B15" s="8" t="s">
        <v>27</v>
      </c>
      <c r="C15" s="8"/>
      <c r="D15" s="8"/>
      <c r="E15" s="7" t="s">
        <v>28</v>
      </c>
      <c r="F15" s="7" t="s">
        <v>29</v>
      </c>
    </row>
    <row r="16" customFormat="false" ht="19.5" hidden="false" customHeight="true" outlineLevel="0" collapsed="false">
      <c r="A16" s="9" t="s">
        <v>30</v>
      </c>
      <c r="B16" s="10"/>
      <c r="C16" s="10"/>
      <c r="D16" s="10"/>
      <c r="E16" s="11"/>
      <c r="F16" s="11"/>
    </row>
    <row r="17" customFormat="false" ht="19.5" hidden="false" customHeight="true" outlineLevel="0" collapsed="false">
      <c r="A17" s="9" t="s">
        <v>31</v>
      </c>
      <c r="B17" s="10"/>
      <c r="C17" s="10"/>
      <c r="D17" s="10"/>
      <c r="E17" s="11"/>
      <c r="F17" s="11"/>
    </row>
    <row r="18" customFormat="false" ht="19.5" hidden="false" customHeight="true" outlineLevel="0" collapsed="false">
      <c r="A18" s="9" t="s">
        <v>32</v>
      </c>
      <c r="B18" s="10"/>
      <c r="C18" s="10"/>
      <c r="D18" s="10"/>
      <c r="E18" s="11"/>
      <c r="F18" s="11"/>
    </row>
    <row r="19" customFormat="false" ht="19.5" hidden="false" customHeight="true" outlineLevel="0" collapsed="false">
      <c r="A19" s="9" t="s">
        <v>33</v>
      </c>
      <c r="B19" s="10"/>
      <c r="C19" s="10"/>
      <c r="D19" s="10"/>
      <c r="E19" s="11"/>
      <c r="F19" s="11"/>
    </row>
    <row r="20" customFormat="false" ht="19.5" hidden="false" customHeight="true" outlineLevel="0" collapsed="false">
      <c r="A20" s="9" t="s">
        <v>34</v>
      </c>
      <c r="B20" s="10"/>
      <c r="C20" s="10"/>
      <c r="D20" s="10"/>
      <c r="E20" s="11"/>
      <c r="F20" s="11"/>
    </row>
    <row r="21" customFormat="false" ht="19.5" hidden="false" customHeight="true" outlineLevel="0" collapsed="false">
      <c r="A21" s="9" t="s">
        <v>35</v>
      </c>
      <c r="B21" s="10"/>
      <c r="C21" s="10"/>
      <c r="D21" s="10"/>
      <c r="E21" s="11"/>
      <c r="F21" s="11"/>
    </row>
    <row r="22" customFormat="false" ht="19.5" hidden="false" customHeight="true" outlineLevel="0" collapsed="false">
      <c r="A22" s="9" t="s">
        <v>36</v>
      </c>
      <c r="B22" s="10"/>
      <c r="C22" s="10"/>
      <c r="D22" s="10"/>
      <c r="E22" s="11"/>
      <c r="F22" s="11"/>
    </row>
    <row r="23" customFormat="false" ht="30" hidden="false" customHeight="true" outlineLevel="0" collapsed="false">
      <c r="A23" s="12" t="s">
        <v>37</v>
      </c>
      <c r="B23" s="12"/>
      <c r="C23" s="12"/>
      <c r="D23" s="12"/>
      <c r="E23" s="12"/>
      <c r="F23" s="12"/>
    </row>
    <row r="24" customFormat="false" ht="30" hidden="false" customHeight="true" outlineLevel="0" collapsed="false">
      <c r="A24" s="12" t="s">
        <v>38</v>
      </c>
      <c r="B24" s="12"/>
      <c r="C24" s="12"/>
      <c r="D24" s="12"/>
      <c r="E24" s="12"/>
      <c r="F24" s="12"/>
    </row>
  </sheetData>
  <mergeCells count="12">
    <mergeCell ref="A1:F1"/>
    <mergeCell ref="A14:F14"/>
    <mergeCell ref="B15:D15"/>
    <mergeCell ref="B16:D16"/>
    <mergeCell ref="B17:D17"/>
    <mergeCell ref="B18:D18"/>
    <mergeCell ref="B19:D19"/>
    <mergeCell ref="B20:D20"/>
    <mergeCell ref="B21:D21"/>
    <mergeCell ref="B22:D22"/>
    <mergeCell ref="A23:F23"/>
    <mergeCell ref="A24:F24"/>
  </mergeCells>
  <dataValidations count="3">
    <dataValidation allowBlank="true" errorStyle="stop" operator="between" showDropDown="false" showErrorMessage="false" showInputMessage="false" sqref="B5" type="list">
      <formula1>"פטם,מטילות,רבייה"</formula1>
      <formula2>0</formula2>
    </dataValidation>
    <dataValidation allowBlank="true" errorStyle="stop" operator="between" showDropDown="false" showErrorMessage="false" showInputMessage="false" sqref="B7:B9" type="list">
      <formula1>"יש,אין"</formula1>
      <formula2>0</formula2>
    </dataValidation>
    <dataValidation allowBlank="true" errorStyle="stop" operator="between" showDropDown="false" showErrorMessage="false" showInputMessage="false" sqref="B16:B22" type="list">
      <formula1>"Agrotop,לקוח,גורם חיצוני"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true" outlineLevel="0" max="8" min="8" style="0" width="13"/>
  </cols>
  <sheetData>
    <row r="1" customFormat="false" ht="25.5" hidden="false" customHeight="true" outlineLevel="0" collapsed="false">
      <c r="A1" s="4" t="s">
        <v>39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13" t="s">
        <v>40</v>
      </c>
      <c r="B2" s="13" t="s">
        <v>41</v>
      </c>
      <c r="C2" s="13" t="s">
        <v>42</v>
      </c>
      <c r="D2" s="13" t="s">
        <v>43</v>
      </c>
      <c r="E2" s="13" t="s">
        <v>44</v>
      </c>
      <c r="F2" s="13" t="s">
        <v>45</v>
      </c>
      <c r="G2" s="13" t="s">
        <v>46</v>
      </c>
    </row>
    <row r="3" customFormat="false" ht="21.75" hidden="false" customHeight="true" outlineLevel="0" collapsed="false">
      <c r="A3" s="14" t="s">
        <v>47</v>
      </c>
      <c r="B3" s="15" t="n">
        <f aca="false">COUNTIF('טרום יציקה'!$C$4:$C$10,"בוצע")</f>
        <v>0</v>
      </c>
      <c r="C3" s="15" t="n">
        <f aca="false">COUNTIF('טרום יציקה'!$C$4:$C$10,"לא בוצע")</f>
        <v>0</v>
      </c>
      <c r="D3" s="15" t="n">
        <f aca="false">COUNTIF('טרום יציקה'!$C$4:$C$10,"לא רלוונטי")</f>
        <v>0</v>
      </c>
      <c r="E3" s="15" t="n">
        <f aca="false">7-B3-C3-D3</f>
        <v>7</v>
      </c>
      <c r="F3" s="16" t="n">
        <f aca="false">IF(7-D3=0,1,(B3)/(7-D3))</f>
        <v>0</v>
      </c>
      <c r="G3" s="17" t="str">
        <f aca="false">IF(H3="","—",MID(H3,3,300))</f>
        <v>—</v>
      </c>
      <c r="H3" s="0" t="str">
        <f aca="false">""&amp;IF('טרום יציקה'!$C$4="לא בוצע",", "&amp;"1","")&amp;IF('טרום יציקה'!$C$5="לא בוצע",", "&amp;"2","")&amp;IF('טרום יציקה'!$C$6="לא בוצע",", "&amp;"3","")&amp;IF('טרום יציקה'!$C$7="לא בוצע",", "&amp;"4","")&amp;IF('טרום יציקה'!$C$8="לא בוצע",", "&amp;"5","")&amp;IF('טרום יציקה'!$C$9="לא בוצע",", "&amp;"6","")&amp;IF('טרום יציקה'!$C$10="לא בוצע",", "&amp;"7","")</f>
        <v/>
      </c>
    </row>
    <row r="4" customFormat="false" ht="21.75" hidden="false" customHeight="true" outlineLevel="0" collapsed="false">
      <c r="A4" s="14" t="s">
        <v>48</v>
      </c>
      <c r="B4" s="15" t="n">
        <f aca="false">COUNTIF('שער 1'!$C$3:$C$12,"בוצע")</f>
        <v>0</v>
      </c>
      <c r="C4" s="15" t="n">
        <f aca="false">COUNTIF('שער 1'!$C$3:$C$12,"לא בוצע")</f>
        <v>0</v>
      </c>
      <c r="D4" s="15" t="n">
        <f aca="false">COUNTIF('שער 1'!$C$3:$C$12,"לא רלוונטי")</f>
        <v>0</v>
      </c>
      <c r="E4" s="15" t="n">
        <f aca="false">10-B4-C4-D4</f>
        <v>10</v>
      </c>
      <c r="F4" s="16" t="n">
        <f aca="false">IF(10-D4=0,1,(B4)/(10-D4))</f>
        <v>0</v>
      </c>
      <c r="G4" s="17" t="str">
        <f aca="false">IF(H4="","—",MID(H4,3,300))</f>
        <v>—</v>
      </c>
      <c r="H4" s="0" t="str">
        <f aca="false">""&amp;IF('שער 1'!$C$3="לא בוצע",", "&amp;"1","")&amp;IF('שער 1'!$C$4="לא בוצע",", "&amp;"2","")&amp;IF('שער 1'!$C$5="לא בוצע",", "&amp;"3","")&amp;IF('שער 1'!$C$6="לא בוצע",", "&amp;"4","")&amp;IF('שער 1'!$C$7="לא בוצע",", "&amp;"5","")&amp;IF('שער 1'!$C$8="לא בוצע",", "&amp;"6","")&amp;IF('שער 1'!$C$9="לא בוצע",", "&amp;"7","")&amp;IF('שער 1'!$C$10="לא בוצע",", "&amp;"8","")&amp;IF('שער 1'!$C$11="לא בוצע",", "&amp;"9","")&amp;IF('שער 1'!$C$12="לא בוצע",", "&amp;"10","")</f>
        <v/>
      </c>
    </row>
    <row r="5" customFormat="false" ht="21.75" hidden="false" customHeight="true" outlineLevel="0" collapsed="false">
      <c r="A5" s="14" t="s">
        <v>49</v>
      </c>
      <c r="B5" s="15" t="n">
        <f aca="false">COUNTIF('שער 2'!$C$3:$C$12,"בוצע")</f>
        <v>0</v>
      </c>
      <c r="C5" s="15" t="n">
        <f aca="false">COUNTIF('שער 2'!$C$3:$C$12,"לא בוצע")</f>
        <v>0</v>
      </c>
      <c r="D5" s="15" t="n">
        <f aca="false">COUNTIF('שער 2'!$C$3:$C$12,"לא רלוונטי")</f>
        <v>0</v>
      </c>
      <c r="E5" s="15" t="n">
        <f aca="false">10-B5-C5-D5</f>
        <v>10</v>
      </c>
      <c r="F5" s="16" t="n">
        <f aca="false">IF(10-D5=0,1,(B5)/(10-D5))</f>
        <v>0</v>
      </c>
      <c r="G5" s="17" t="str">
        <f aca="false">IF(H5="","—",MID(H5,3,300))</f>
        <v>—</v>
      </c>
      <c r="H5" s="0" t="str">
        <f aca="false">""&amp;IF('שער 2'!$C$3="לא בוצע",", "&amp;"1","")&amp;IF('שער 2'!$C$4="לא בוצע",", "&amp;"2","")&amp;IF('שער 2'!$C$5="לא בוצע",", "&amp;"3","")&amp;IF('שער 2'!$C$6="לא בוצע",", "&amp;"4","")&amp;IF('שער 2'!$C$7="לא בוצע",", "&amp;"5","")&amp;IF('שער 2'!$C$8="לא בוצע",", "&amp;"6","")&amp;IF('שער 2'!$C$9="לא בוצע",", "&amp;"7","")&amp;IF('שער 2'!$C$10="לא בוצע",", "&amp;"8","")&amp;IF('שער 2'!$C$11="לא בוצע",", "&amp;"9","")&amp;IF('שער 2'!$C$12="לא בוצע",", "&amp;"10","")</f>
        <v/>
      </c>
    </row>
    <row r="6" customFormat="false" ht="21.75" hidden="false" customHeight="true" outlineLevel="0" collapsed="false">
      <c r="A6" s="14" t="s">
        <v>50</v>
      </c>
      <c r="B6" s="15" t="n">
        <f aca="false">COUNTIF('שער 3'!$C$3:$C$11,"בוצע")</f>
        <v>0</v>
      </c>
      <c r="C6" s="15" t="n">
        <f aca="false">COUNTIF('שער 3'!$C$3:$C$11,"לא בוצע")</f>
        <v>0</v>
      </c>
      <c r="D6" s="15" t="n">
        <f aca="false">COUNTIF('שער 3'!$C$3:$C$11,"לא רלוונטי")</f>
        <v>0</v>
      </c>
      <c r="E6" s="15" t="n">
        <f aca="false">9-B6-C6-D6</f>
        <v>9</v>
      </c>
      <c r="F6" s="16" t="n">
        <f aca="false">IF(9-D6=0,1,(B6)/(9-D6))</f>
        <v>0</v>
      </c>
      <c r="G6" s="17" t="str">
        <f aca="false">IF(H6="","—",MID(H6,3,300))</f>
        <v>—</v>
      </c>
      <c r="H6" s="0" t="str">
        <f aca="false">""&amp;IF('שער 3'!$C$3="לא בוצע",", "&amp;"1","")&amp;IF('שער 3'!$C$4="לא בוצע",", "&amp;"2","")&amp;IF('שער 3'!$C$5="לא בוצע",", "&amp;"3","")&amp;IF('שער 3'!$C$6="לא בוצע",", "&amp;"4","")&amp;IF('שער 3'!$C$7="לא בוצע",", "&amp;"5","")&amp;IF('שער 3'!$C$8="לא בוצע",", "&amp;"6","")&amp;IF('שער 3'!$C$9="לא בוצע",", "&amp;"7","")&amp;IF('שער 3'!$C$10="לא בוצע",", "&amp;"8","")&amp;IF('שער 3'!$C$11="לא בוצע",", "&amp;"9","")</f>
        <v/>
      </c>
    </row>
    <row r="7" customFormat="false" ht="21.75" hidden="false" customHeight="true" outlineLevel="0" collapsed="false">
      <c r="A7" s="14" t="s">
        <v>51</v>
      </c>
      <c r="B7" s="15" t="n">
        <f aca="false">COUNTIF('שער 4'!$C$4:$C$13,"בוצע")</f>
        <v>0</v>
      </c>
      <c r="C7" s="15" t="n">
        <f aca="false">COUNTIF('שער 4'!$C$4:$C$13,"לא בוצע")</f>
        <v>0</v>
      </c>
      <c r="D7" s="15" t="n">
        <f aca="false">COUNTIF('שער 4'!$C$4:$C$13,"לא רלוונטי")</f>
        <v>0</v>
      </c>
      <c r="E7" s="15" t="n">
        <f aca="false">10-B7-C7-D7</f>
        <v>10</v>
      </c>
      <c r="F7" s="16" t="n">
        <f aca="false">IF(10-D7=0,1,(B7)/(10-D7))</f>
        <v>0</v>
      </c>
      <c r="G7" s="17" t="str">
        <f aca="false">IF(H7="","—",MID(H7,3,300))</f>
        <v>—</v>
      </c>
      <c r="H7" s="0" t="str">
        <f aca="false">""&amp;IF('שער 4'!$C$4="לא בוצע",", "&amp;"1","")&amp;IF('שער 4'!$C$5="לא בוצע",", "&amp;"2","")&amp;IF('שער 4'!$C$6="לא בוצע",", "&amp;"3","")&amp;IF('שער 4'!$C$7="לא בוצע",", "&amp;"4","")&amp;IF('שער 4'!$C$8="לא בוצע",", "&amp;"5","")&amp;IF('שער 4'!$C$9="לא בוצע",", "&amp;"6","")&amp;IF('שער 4'!$C$10="לא בוצע",", "&amp;"7","")&amp;IF('שער 4'!$C$11="לא בוצע",", "&amp;"8","")&amp;IF('שער 4'!$C$12="לא בוצע",", "&amp;"9","")&amp;IF('שער 4'!$C$13="לא בוצע",", "&amp;"10","")</f>
        <v/>
      </c>
    </row>
    <row r="8" customFormat="false" ht="21.75" hidden="false" customHeight="true" outlineLevel="0" collapsed="false">
      <c r="A8" s="14" t="s">
        <v>52</v>
      </c>
      <c r="B8" s="15" t="n">
        <f aca="false">COUNTIF('שער 5'!$C$3:$C$21,"בוצע")</f>
        <v>0</v>
      </c>
      <c r="C8" s="15" t="n">
        <f aca="false">COUNTIF('שער 5'!$C$3:$C$21,"לא בוצע")</f>
        <v>0</v>
      </c>
      <c r="D8" s="15" t="n">
        <f aca="false">COUNTIF('שער 5'!$C$3:$C$21,"לא רלוונטי")</f>
        <v>0</v>
      </c>
      <c r="E8" s="15" t="n">
        <f aca="false">19-B8-C8-D8</f>
        <v>19</v>
      </c>
      <c r="F8" s="16" t="n">
        <f aca="false">IF(19-D8=0,1,(B8)/(19-D8))</f>
        <v>0</v>
      </c>
      <c r="G8" s="17" t="str">
        <f aca="false">IF(H8="","—",MID(H8,3,300))</f>
        <v>—</v>
      </c>
      <c r="H8" s="0" t="str">
        <f aca="false">""&amp;IF('שער 5'!$C$3="לא בוצע",", "&amp;"1","")&amp;IF('שער 5'!$C$4="לא בוצע",", "&amp;"2","")&amp;IF('שער 5'!$C$5="לא בוצע",", "&amp;"3","")&amp;IF('שער 5'!$C$6="לא בוצע",", "&amp;"4","")&amp;IF('שער 5'!$C$7="לא בוצע",", "&amp;"5","")&amp;IF('שער 5'!$C$8="לא בוצע",", "&amp;"6","")&amp;IF('שער 5'!$C$9="לא בוצע",", "&amp;"7","")&amp;IF('שער 5'!$C$10="לא בוצע",", "&amp;"8","")&amp;IF('שער 5'!$C$11="לא בוצע",", "&amp;"9","")&amp;IF('שער 5'!$C$12="לא בוצע",", "&amp;"10","")&amp;IF('שער 5'!$C$13="לא בוצע",", "&amp;"11","")&amp;IF('שער 5'!$C$14="לא בוצע",", "&amp;"12","")&amp;IF('שער 5'!$C$15="לא בוצע",", "&amp;"13","")&amp;IF('שער 5'!$C$16="לא בוצע",", "&amp;"14","")&amp;IF('שער 5'!$C$17="לא בוצע",", "&amp;"15","")&amp;IF('שער 5'!$C$18="לא בוצע",", "&amp;"16","")&amp;IF('שער 5'!$C$19="לא בוצע",", "&amp;"17","")&amp;IF('שער 5'!$C$20="לא בוצע",", "&amp;"18","")&amp;IF('שער 5'!$C$21="לא בוצע",", "&amp;"19","")</f>
        <v/>
      </c>
    </row>
    <row r="9" customFormat="false" ht="21.75" hidden="false" customHeight="true" outlineLevel="0" collapsed="false">
      <c r="A9" s="14" t="s">
        <v>53</v>
      </c>
      <c r="B9" s="15" t="n">
        <f aca="false">COUNTIF('שער 6'!$C$4:$C$21,"בוצע")</f>
        <v>0</v>
      </c>
      <c r="C9" s="15" t="n">
        <f aca="false">COUNTIF('שער 6'!$C$4:$C$21,"לא בוצע")</f>
        <v>0</v>
      </c>
      <c r="D9" s="15" t="n">
        <f aca="false">COUNTIF('שער 6'!$C$4:$C$21,"לא רלוונטי")</f>
        <v>0</v>
      </c>
      <c r="E9" s="15" t="n">
        <f aca="false">18-B9-C9-D9</f>
        <v>18</v>
      </c>
      <c r="F9" s="16" t="n">
        <f aca="false">IF(18-D9=0,1,(B9)/(18-D9))</f>
        <v>0</v>
      </c>
      <c r="G9" s="17" t="str">
        <f aca="false">IF(H9="","—",MID(H9,3,300))</f>
        <v>—</v>
      </c>
      <c r="H9" s="0" t="str">
        <f aca="false">""&amp;IF('שער 6'!$C$4="לא בוצע",", "&amp;"1","")&amp;IF('שער 6'!$C$5="לא בוצע",", "&amp;"2","")&amp;IF('שער 6'!$C$6="לא בוצע",", "&amp;"3","")&amp;IF('שער 6'!$C$7="לא בוצע",", "&amp;"4","")&amp;IF('שער 6'!$C$8="לא בוצע",", "&amp;"5","")&amp;IF('שער 6'!$C$9="לא בוצע",", "&amp;"6","")&amp;IF('שער 6'!$C$10="לא בוצע",", "&amp;"7","")&amp;IF('שער 6'!$C$11="לא בוצע",", "&amp;"8","")&amp;IF('שער 6'!$C$12="לא בוצע",", "&amp;"9","")&amp;IF('שער 6'!$C$13="לא בוצע",", "&amp;"10","")&amp;IF('שער 6'!$C$14="לא בוצע",", "&amp;"11","")&amp;IF('שער 6'!$C$15="לא בוצע",", "&amp;"12","")&amp;IF('שער 6'!$C$16="לא בוצע",", "&amp;"13","")&amp;IF('שער 6'!$C$17="לא בוצע",", "&amp;"14","")&amp;IF('שער 6'!$C$18="לא בוצע",", "&amp;"15","")&amp;IF('שער 6'!$C$19="לא בוצע",", "&amp;"16","")&amp;IF('שער 6'!$C$20="לא בוצע",", "&amp;"17","")&amp;IF('שער 6'!$C$21="לא בוצע",", "&amp;"18","")</f>
        <v/>
      </c>
    </row>
    <row r="10" customFormat="false" ht="30" hidden="false" customHeight="true" outlineLevel="0" collapsed="false">
      <c r="A10" s="12" t="s">
        <v>54</v>
      </c>
      <c r="B10" s="12"/>
      <c r="C10" s="12"/>
      <c r="D10" s="12"/>
      <c r="E10" s="12"/>
      <c r="F10" s="12"/>
      <c r="G10" s="12"/>
    </row>
  </sheetData>
  <mergeCells count="2">
    <mergeCell ref="A1:G1"/>
    <mergeCell ref="A10:G10"/>
  </mergeCells>
  <conditionalFormatting sqref="C3:C9">
    <cfRule type="cellIs" priority="2" operator="greaterThan" aboveAverage="0" equalAverage="0" bottom="0" percent="0" rank="0" text="" dxfId="0">
      <formula>0</formula>
    </cfRule>
  </conditionalFormatting>
  <conditionalFormatting sqref="F3:F9"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8" t="s">
        <v>55</v>
      </c>
      <c r="B1" s="18"/>
      <c r="C1" s="18"/>
      <c r="D1" s="18"/>
      <c r="E1" s="18"/>
      <c r="F1" s="18"/>
    </row>
    <row r="2" customFormat="false" ht="27.75" hidden="false" customHeight="true" outlineLevel="0" collapsed="false">
      <c r="A2" s="19" t="s">
        <v>56</v>
      </c>
      <c r="B2" s="19"/>
      <c r="C2" s="19"/>
      <c r="D2" s="19"/>
      <c r="E2" s="19"/>
      <c r="F2" s="19"/>
    </row>
    <row r="3" customFormat="false" ht="27.75" hidden="false" customHeight="true" outlineLevel="0" collapsed="false">
      <c r="A3" s="20" t="s">
        <v>57</v>
      </c>
      <c r="B3" s="20" t="s">
        <v>58</v>
      </c>
      <c r="C3" s="20" t="s">
        <v>59</v>
      </c>
      <c r="D3" s="20" t="s">
        <v>60</v>
      </c>
      <c r="E3" s="20" t="s">
        <v>61</v>
      </c>
      <c r="F3" s="20" t="s">
        <v>62</v>
      </c>
    </row>
    <row r="4" customFormat="false" ht="30" hidden="false" customHeight="true" outlineLevel="0" collapsed="false">
      <c r="A4" s="21" t="n">
        <v>1</v>
      </c>
      <c r="B4" s="17" t="s">
        <v>63</v>
      </c>
      <c r="C4" s="22"/>
      <c r="D4" s="22"/>
      <c r="E4" s="17"/>
      <c r="F4" s="17"/>
    </row>
    <row r="5" customFormat="false" ht="30" hidden="false" customHeight="true" outlineLevel="0" collapsed="false">
      <c r="A5" s="23" t="n">
        <v>2</v>
      </c>
      <c r="B5" s="24" t="s">
        <v>64</v>
      </c>
      <c r="C5" s="25"/>
      <c r="D5" s="25"/>
      <c r="E5" s="24"/>
      <c r="F5" s="24"/>
    </row>
    <row r="6" customFormat="false" ht="30" hidden="false" customHeight="true" outlineLevel="0" collapsed="false">
      <c r="A6" s="21" t="n">
        <v>3</v>
      </c>
      <c r="B6" s="17" t="s">
        <v>65</v>
      </c>
      <c r="C6" s="22"/>
      <c r="D6" s="22"/>
      <c r="E6" s="17"/>
      <c r="F6" s="17"/>
    </row>
    <row r="7" customFormat="false" ht="30" hidden="false" customHeight="true" outlineLevel="0" collapsed="false">
      <c r="A7" s="23" t="n">
        <v>4</v>
      </c>
      <c r="B7" s="24" t="s">
        <v>66</v>
      </c>
      <c r="C7" s="25"/>
      <c r="D7" s="25"/>
      <c r="E7" s="24"/>
      <c r="F7" s="24"/>
    </row>
    <row r="8" customFormat="false" ht="30" hidden="false" customHeight="true" outlineLevel="0" collapsed="false">
      <c r="A8" s="21" t="n">
        <v>5</v>
      </c>
      <c r="B8" s="17" t="s">
        <v>67</v>
      </c>
      <c r="C8" s="22"/>
      <c r="D8" s="22"/>
      <c r="E8" s="17"/>
      <c r="F8" s="17"/>
    </row>
    <row r="9" customFormat="false" ht="30" hidden="false" customHeight="true" outlineLevel="0" collapsed="false">
      <c r="A9" s="23" t="n">
        <v>6</v>
      </c>
      <c r="B9" s="24" t="s">
        <v>68</v>
      </c>
      <c r="C9" s="25"/>
      <c r="D9" s="25"/>
      <c r="E9" s="24"/>
      <c r="F9" s="24"/>
    </row>
    <row r="10" customFormat="false" ht="30" hidden="false" customHeight="true" outlineLevel="0" collapsed="false">
      <c r="A10" s="21" t="n">
        <v>7</v>
      </c>
      <c r="B10" s="17" t="s">
        <v>69</v>
      </c>
      <c r="C10" s="22"/>
      <c r="D10" s="22"/>
      <c r="E10" s="17"/>
      <c r="F10" s="17"/>
    </row>
    <row r="11" customFormat="false" ht="30" hidden="false" customHeight="true" outlineLevel="0" collapsed="false">
      <c r="A11" s="12" t="s">
        <v>70</v>
      </c>
      <c r="B11" s="12"/>
      <c r="C11" s="12"/>
      <c r="D11" s="12"/>
      <c r="E11" s="12"/>
      <c r="F11" s="12"/>
    </row>
    <row r="12" customFormat="false" ht="30" hidden="false" customHeight="true" outlineLevel="0" collapsed="false">
      <c r="A12" s="12" t="s">
        <v>71</v>
      </c>
      <c r="B12" s="12"/>
      <c r="C12" s="12"/>
      <c r="D12" s="12"/>
      <c r="E12" s="12"/>
      <c r="F12" s="12"/>
    </row>
    <row r="14" customFormat="false" ht="15" hidden="false" customHeight="false" outlineLevel="0" collapsed="false">
      <c r="A14" s="26" t="s">
        <v>72</v>
      </c>
      <c r="B14" s="26"/>
      <c r="C14" s="27"/>
      <c r="D14" s="27"/>
      <c r="E14" s="27"/>
      <c r="F14" s="27"/>
    </row>
    <row r="15" customFormat="false" ht="15" hidden="false" customHeight="false" outlineLevel="0" collapsed="false">
      <c r="A15" s="26" t="s">
        <v>73</v>
      </c>
      <c r="B15" s="26"/>
      <c r="C15" s="27"/>
      <c r="D15" s="27"/>
      <c r="E15" s="27"/>
      <c r="F15" s="27"/>
    </row>
  </sheetData>
  <mergeCells count="8">
    <mergeCell ref="A1:F1"/>
    <mergeCell ref="A2:F2"/>
    <mergeCell ref="A11:F11"/>
    <mergeCell ref="A12:F12"/>
    <mergeCell ref="A14:B14"/>
    <mergeCell ref="C14:F14"/>
    <mergeCell ref="A15:B15"/>
    <mergeCell ref="C15:F15"/>
  </mergeCells>
  <conditionalFormatting sqref="C4:C10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4:C10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4:D10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8" t="s">
        <v>74</v>
      </c>
      <c r="B1" s="18"/>
      <c r="C1" s="18"/>
      <c r="D1" s="18"/>
      <c r="E1" s="18"/>
      <c r="F1" s="18"/>
    </row>
    <row r="2" customFormat="false" ht="27.75" hidden="false" customHeight="true" outlineLevel="0" collapsed="false">
      <c r="A2" s="20" t="s">
        <v>57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</row>
    <row r="3" customFormat="false" ht="30" hidden="false" customHeight="true" outlineLevel="0" collapsed="false">
      <c r="A3" s="21" t="n">
        <v>1</v>
      </c>
      <c r="B3" s="17" t="s">
        <v>75</v>
      </c>
      <c r="C3" s="22"/>
      <c r="D3" s="22"/>
      <c r="E3" s="17"/>
      <c r="F3" s="17"/>
    </row>
    <row r="4" customFormat="false" ht="30" hidden="false" customHeight="true" outlineLevel="0" collapsed="false">
      <c r="A4" s="23" t="n">
        <v>2</v>
      </c>
      <c r="B4" s="24" t="s">
        <v>76</v>
      </c>
      <c r="C4" s="25"/>
      <c r="D4" s="25"/>
      <c r="E4" s="24"/>
      <c r="F4" s="24"/>
    </row>
    <row r="5" customFormat="false" ht="30" hidden="false" customHeight="true" outlineLevel="0" collapsed="false">
      <c r="A5" s="21" t="n">
        <v>3</v>
      </c>
      <c r="B5" s="17" t="s">
        <v>77</v>
      </c>
      <c r="C5" s="22"/>
      <c r="D5" s="22"/>
      <c r="E5" s="17"/>
      <c r="F5" s="17"/>
    </row>
    <row r="6" customFormat="false" ht="30" hidden="false" customHeight="true" outlineLevel="0" collapsed="false">
      <c r="A6" s="23" t="n">
        <v>4</v>
      </c>
      <c r="B6" s="24" t="s">
        <v>78</v>
      </c>
      <c r="C6" s="25"/>
      <c r="D6" s="25"/>
      <c r="E6" s="24"/>
      <c r="F6" s="24"/>
    </row>
    <row r="7" customFormat="false" ht="30" hidden="false" customHeight="true" outlineLevel="0" collapsed="false">
      <c r="A7" s="21" t="n">
        <v>5</v>
      </c>
      <c r="B7" s="17" t="s">
        <v>79</v>
      </c>
      <c r="C7" s="22"/>
      <c r="D7" s="22"/>
      <c r="E7" s="17"/>
      <c r="F7" s="17"/>
    </row>
    <row r="8" customFormat="false" ht="30" hidden="false" customHeight="true" outlineLevel="0" collapsed="false">
      <c r="A8" s="23" t="n">
        <v>6</v>
      </c>
      <c r="B8" s="24" t="s">
        <v>80</v>
      </c>
      <c r="C8" s="25"/>
      <c r="D8" s="25"/>
      <c r="E8" s="24"/>
      <c r="F8" s="24"/>
    </row>
    <row r="9" customFormat="false" ht="30" hidden="false" customHeight="true" outlineLevel="0" collapsed="false">
      <c r="A9" s="21" t="n">
        <v>7</v>
      </c>
      <c r="B9" s="17" t="s">
        <v>81</v>
      </c>
      <c r="C9" s="22"/>
      <c r="D9" s="22"/>
      <c r="E9" s="17"/>
      <c r="F9" s="17"/>
    </row>
    <row r="10" customFormat="false" ht="30" hidden="false" customHeight="true" outlineLevel="0" collapsed="false">
      <c r="A10" s="23" t="n">
        <v>8</v>
      </c>
      <c r="B10" s="24" t="s">
        <v>82</v>
      </c>
      <c r="C10" s="25"/>
      <c r="D10" s="25"/>
      <c r="E10" s="24"/>
      <c r="F10" s="24"/>
    </row>
    <row r="11" customFormat="false" ht="30" hidden="false" customHeight="true" outlineLevel="0" collapsed="false">
      <c r="A11" s="21" t="n">
        <v>9</v>
      </c>
      <c r="B11" s="17" t="s">
        <v>83</v>
      </c>
      <c r="C11" s="22"/>
      <c r="D11" s="22"/>
      <c r="E11" s="17"/>
      <c r="F11" s="17"/>
    </row>
    <row r="12" customFormat="false" ht="30" hidden="false" customHeight="true" outlineLevel="0" collapsed="false">
      <c r="A12" s="23" t="n">
        <v>10</v>
      </c>
      <c r="B12" s="24" t="s">
        <v>84</v>
      </c>
      <c r="C12" s="25"/>
      <c r="D12" s="25"/>
      <c r="E12" s="24"/>
      <c r="F12" s="24"/>
    </row>
    <row r="13" customFormat="false" ht="30" hidden="false" customHeight="true" outlineLevel="0" collapsed="false">
      <c r="A13" s="12" t="s">
        <v>85</v>
      </c>
      <c r="B13" s="12"/>
      <c r="C13" s="12"/>
      <c r="D13" s="12"/>
      <c r="E13" s="12"/>
      <c r="F13" s="12"/>
    </row>
    <row r="15" customFormat="false" ht="15" hidden="false" customHeight="false" outlineLevel="0" collapsed="false">
      <c r="A15" s="26" t="s">
        <v>72</v>
      </c>
      <c r="B15" s="26"/>
      <c r="C15" s="27"/>
      <c r="D15" s="27"/>
      <c r="E15" s="27"/>
      <c r="F15" s="27"/>
    </row>
    <row r="16" customFormat="false" ht="15" hidden="false" customHeight="false" outlineLevel="0" collapsed="false">
      <c r="A16" s="26" t="s">
        <v>73</v>
      </c>
      <c r="B16" s="26"/>
      <c r="C16" s="27"/>
      <c r="D16" s="27"/>
      <c r="E16" s="27"/>
      <c r="F16" s="27"/>
    </row>
  </sheetData>
  <mergeCells count="6">
    <mergeCell ref="A1:F1"/>
    <mergeCell ref="A13:F13"/>
    <mergeCell ref="A15:B15"/>
    <mergeCell ref="C15:F15"/>
    <mergeCell ref="A16:B16"/>
    <mergeCell ref="C16:F16"/>
  </mergeCells>
  <conditionalFormatting sqref="C3:C12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3:C12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3:D12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8" t="s">
        <v>86</v>
      </c>
      <c r="B1" s="18"/>
      <c r="C1" s="18"/>
      <c r="D1" s="18"/>
      <c r="E1" s="18"/>
      <c r="F1" s="18"/>
    </row>
    <row r="2" customFormat="false" ht="27.75" hidden="false" customHeight="true" outlineLevel="0" collapsed="false">
      <c r="A2" s="20" t="s">
        <v>57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</row>
    <row r="3" customFormat="false" ht="30" hidden="false" customHeight="true" outlineLevel="0" collapsed="false">
      <c r="A3" s="21" t="n">
        <v>1</v>
      </c>
      <c r="B3" s="17" t="s">
        <v>87</v>
      </c>
      <c r="C3" s="22"/>
      <c r="D3" s="22"/>
      <c r="E3" s="17"/>
      <c r="F3" s="17"/>
    </row>
    <row r="4" customFormat="false" ht="30" hidden="false" customHeight="true" outlineLevel="0" collapsed="false">
      <c r="A4" s="23" t="n">
        <v>2</v>
      </c>
      <c r="B4" s="24" t="s">
        <v>88</v>
      </c>
      <c r="C4" s="25"/>
      <c r="D4" s="25"/>
      <c r="E4" s="24"/>
      <c r="F4" s="24"/>
    </row>
    <row r="5" customFormat="false" ht="30" hidden="false" customHeight="true" outlineLevel="0" collapsed="false">
      <c r="A5" s="21" t="n">
        <v>3</v>
      </c>
      <c r="B5" s="17" t="s">
        <v>89</v>
      </c>
      <c r="C5" s="22"/>
      <c r="D5" s="22"/>
      <c r="E5" s="17"/>
      <c r="F5" s="17"/>
    </row>
    <row r="6" customFormat="false" ht="30" hidden="false" customHeight="true" outlineLevel="0" collapsed="false">
      <c r="A6" s="23" t="n">
        <v>4</v>
      </c>
      <c r="B6" s="24" t="s">
        <v>90</v>
      </c>
      <c r="C6" s="25"/>
      <c r="D6" s="25"/>
      <c r="E6" s="24"/>
      <c r="F6" s="24"/>
    </row>
    <row r="7" customFormat="false" ht="45" hidden="false" customHeight="true" outlineLevel="0" collapsed="false">
      <c r="A7" s="21" t="n">
        <v>5</v>
      </c>
      <c r="B7" s="17" t="s">
        <v>91</v>
      </c>
      <c r="C7" s="22"/>
      <c r="D7" s="22"/>
      <c r="E7" s="17"/>
      <c r="F7" s="17"/>
    </row>
    <row r="8" customFormat="false" ht="30" hidden="false" customHeight="true" outlineLevel="0" collapsed="false">
      <c r="A8" s="23" t="n">
        <v>6</v>
      </c>
      <c r="B8" s="24" t="s">
        <v>92</v>
      </c>
      <c r="C8" s="25"/>
      <c r="D8" s="25"/>
      <c r="E8" s="24"/>
      <c r="F8" s="24"/>
    </row>
    <row r="9" customFormat="false" ht="30" hidden="false" customHeight="true" outlineLevel="0" collapsed="false">
      <c r="A9" s="21" t="n">
        <v>7</v>
      </c>
      <c r="B9" s="17" t="s">
        <v>93</v>
      </c>
      <c r="C9" s="22"/>
      <c r="D9" s="22"/>
      <c r="E9" s="17"/>
      <c r="F9" s="17"/>
    </row>
    <row r="10" customFormat="false" ht="30" hidden="false" customHeight="true" outlineLevel="0" collapsed="false">
      <c r="A10" s="23" t="n">
        <v>8</v>
      </c>
      <c r="B10" s="24" t="s">
        <v>94</v>
      </c>
      <c r="C10" s="25"/>
      <c r="D10" s="25"/>
      <c r="E10" s="24"/>
      <c r="F10" s="24"/>
    </row>
    <row r="11" customFormat="false" ht="30" hidden="false" customHeight="true" outlineLevel="0" collapsed="false">
      <c r="A11" s="21" t="n">
        <v>9</v>
      </c>
      <c r="B11" s="17" t="s">
        <v>95</v>
      </c>
      <c r="C11" s="22"/>
      <c r="D11" s="22"/>
      <c r="E11" s="17"/>
      <c r="F11" s="17"/>
    </row>
    <row r="12" customFormat="false" ht="30" hidden="false" customHeight="true" outlineLevel="0" collapsed="false">
      <c r="A12" s="23" t="n">
        <v>10</v>
      </c>
      <c r="B12" s="24" t="s">
        <v>84</v>
      </c>
      <c r="C12" s="25"/>
      <c r="D12" s="25"/>
      <c r="E12" s="24"/>
      <c r="F12" s="24"/>
    </row>
    <row r="13" customFormat="false" ht="30" hidden="false" customHeight="true" outlineLevel="0" collapsed="false">
      <c r="A13" s="12" t="s">
        <v>96</v>
      </c>
      <c r="B13" s="12"/>
      <c r="C13" s="12"/>
      <c r="D13" s="12"/>
      <c r="E13" s="12"/>
      <c r="F13" s="12"/>
    </row>
    <row r="14" customFormat="false" ht="30" hidden="false" customHeight="true" outlineLevel="0" collapsed="false">
      <c r="A14" s="12" t="s">
        <v>97</v>
      </c>
      <c r="B14" s="12"/>
      <c r="C14" s="12"/>
      <c r="D14" s="12"/>
      <c r="E14" s="12"/>
      <c r="F14" s="12"/>
    </row>
    <row r="16" customFormat="false" ht="15" hidden="false" customHeight="false" outlineLevel="0" collapsed="false">
      <c r="A16" s="26" t="s">
        <v>72</v>
      </c>
      <c r="B16" s="26"/>
      <c r="C16" s="27"/>
      <c r="D16" s="27"/>
      <c r="E16" s="27"/>
      <c r="F16" s="27"/>
    </row>
    <row r="17" customFormat="false" ht="15" hidden="false" customHeight="false" outlineLevel="0" collapsed="false">
      <c r="A17" s="26" t="s">
        <v>73</v>
      </c>
      <c r="B17" s="26"/>
      <c r="C17" s="27"/>
      <c r="D17" s="27"/>
      <c r="E17" s="27"/>
      <c r="F17" s="27"/>
    </row>
  </sheetData>
  <mergeCells count="7">
    <mergeCell ref="A1:F1"/>
    <mergeCell ref="A13:F13"/>
    <mergeCell ref="A14:F14"/>
    <mergeCell ref="A16:B16"/>
    <mergeCell ref="C16:F16"/>
    <mergeCell ref="A17:B17"/>
    <mergeCell ref="C17:F17"/>
  </mergeCells>
  <conditionalFormatting sqref="C3:C12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3:C12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3:D12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8" t="s">
        <v>98</v>
      </c>
      <c r="B1" s="28"/>
      <c r="C1" s="28"/>
      <c r="D1" s="28"/>
      <c r="E1" s="28"/>
      <c r="F1" s="28"/>
    </row>
    <row r="2" customFormat="false" ht="27.75" hidden="false" customHeight="true" outlineLevel="0" collapsed="false">
      <c r="A2" s="29" t="s">
        <v>57</v>
      </c>
      <c r="B2" s="29" t="s">
        <v>58</v>
      </c>
      <c r="C2" s="29" t="s">
        <v>59</v>
      </c>
      <c r="D2" s="29" t="s">
        <v>60</v>
      </c>
      <c r="E2" s="29" t="s">
        <v>61</v>
      </c>
      <c r="F2" s="29" t="s">
        <v>62</v>
      </c>
    </row>
    <row r="3" customFormat="false" ht="45" hidden="false" customHeight="true" outlineLevel="0" collapsed="false">
      <c r="A3" s="21" t="n">
        <v>1</v>
      </c>
      <c r="B3" s="17" t="s">
        <v>99</v>
      </c>
      <c r="C3" s="22"/>
      <c r="D3" s="22"/>
      <c r="E3" s="17"/>
      <c r="F3" s="17"/>
    </row>
    <row r="4" customFormat="false" ht="30" hidden="false" customHeight="true" outlineLevel="0" collapsed="false">
      <c r="A4" s="23" t="n">
        <v>2</v>
      </c>
      <c r="B4" s="24" t="s">
        <v>100</v>
      </c>
      <c r="C4" s="25"/>
      <c r="D4" s="25"/>
      <c r="E4" s="24"/>
      <c r="F4" s="24"/>
    </row>
    <row r="5" customFormat="false" ht="45" hidden="false" customHeight="true" outlineLevel="0" collapsed="false">
      <c r="A5" s="21" t="n">
        <v>3</v>
      </c>
      <c r="B5" s="17" t="s">
        <v>101</v>
      </c>
      <c r="C5" s="22"/>
      <c r="D5" s="22"/>
      <c r="E5" s="17"/>
      <c r="F5" s="17"/>
    </row>
    <row r="6" customFormat="false" ht="30" hidden="false" customHeight="true" outlineLevel="0" collapsed="false">
      <c r="A6" s="23" t="n">
        <v>4</v>
      </c>
      <c r="B6" s="24" t="s">
        <v>102</v>
      </c>
      <c r="C6" s="25"/>
      <c r="D6" s="25"/>
      <c r="E6" s="24"/>
      <c r="F6" s="24"/>
    </row>
    <row r="7" customFormat="false" ht="30" hidden="false" customHeight="true" outlineLevel="0" collapsed="false">
      <c r="A7" s="21" t="n">
        <v>5</v>
      </c>
      <c r="B7" s="17" t="s">
        <v>103</v>
      </c>
      <c r="C7" s="22"/>
      <c r="D7" s="22"/>
      <c r="E7" s="17"/>
      <c r="F7" s="17"/>
    </row>
    <row r="8" customFormat="false" ht="30" hidden="false" customHeight="true" outlineLevel="0" collapsed="false">
      <c r="A8" s="23" t="n">
        <v>6</v>
      </c>
      <c r="B8" s="24" t="s">
        <v>104</v>
      </c>
      <c r="C8" s="25"/>
      <c r="D8" s="25"/>
      <c r="E8" s="24"/>
      <c r="F8" s="24"/>
    </row>
    <row r="9" customFormat="false" ht="30" hidden="false" customHeight="true" outlineLevel="0" collapsed="false">
      <c r="A9" s="21" t="n">
        <v>7</v>
      </c>
      <c r="B9" s="17" t="s">
        <v>105</v>
      </c>
      <c r="C9" s="22"/>
      <c r="D9" s="22"/>
      <c r="E9" s="17"/>
      <c r="F9" s="17"/>
    </row>
    <row r="10" customFormat="false" ht="30" hidden="false" customHeight="true" outlineLevel="0" collapsed="false">
      <c r="A10" s="23" t="n">
        <v>8</v>
      </c>
      <c r="B10" s="24" t="s">
        <v>106</v>
      </c>
      <c r="C10" s="25"/>
      <c r="D10" s="25"/>
      <c r="E10" s="24"/>
      <c r="F10" s="24"/>
    </row>
    <row r="11" customFormat="false" ht="30" hidden="false" customHeight="true" outlineLevel="0" collapsed="false">
      <c r="A11" s="21" t="n">
        <v>9</v>
      </c>
      <c r="B11" s="17" t="s">
        <v>84</v>
      </c>
      <c r="C11" s="22"/>
      <c r="D11" s="22"/>
      <c r="E11" s="17"/>
      <c r="F11" s="17"/>
    </row>
    <row r="12" customFormat="false" ht="30" hidden="false" customHeight="true" outlineLevel="0" collapsed="false">
      <c r="A12" s="12" t="s">
        <v>107</v>
      </c>
      <c r="B12" s="12"/>
      <c r="C12" s="12"/>
      <c r="D12" s="12"/>
      <c r="E12" s="12"/>
      <c r="F12" s="12"/>
    </row>
    <row r="14" customFormat="false" ht="15" hidden="false" customHeight="false" outlineLevel="0" collapsed="false">
      <c r="A14" s="26" t="s">
        <v>72</v>
      </c>
      <c r="B14" s="26"/>
      <c r="C14" s="27"/>
      <c r="D14" s="27"/>
      <c r="E14" s="27"/>
      <c r="F14" s="27"/>
    </row>
    <row r="15" customFormat="false" ht="15" hidden="false" customHeight="false" outlineLevel="0" collapsed="false">
      <c r="A15" s="26" t="s">
        <v>73</v>
      </c>
      <c r="B15" s="26"/>
      <c r="C15" s="27"/>
      <c r="D15" s="27"/>
      <c r="E15" s="27"/>
      <c r="F15" s="27"/>
    </row>
  </sheetData>
  <mergeCells count="6">
    <mergeCell ref="A1:F1"/>
    <mergeCell ref="A12:F12"/>
    <mergeCell ref="A14:B14"/>
    <mergeCell ref="C14:F14"/>
    <mergeCell ref="A15:B15"/>
    <mergeCell ref="C15:F15"/>
  </mergeCells>
  <conditionalFormatting sqref="C3:C11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3:C11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3:D11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8" t="s">
        <v>108</v>
      </c>
      <c r="B1" s="28"/>
      <c r="C1" s="28"/>
      <c r="D1" s="28"/>
      <c r="E1" s="28"/>
      <c r="F1" s="28"/>
    </row>
    <row r="2" customFormat="false" ht="27.75" hidden="false" customHeight="true" outlineLevel="0" collapsed="false">
      <c r="A2" s="19" t="s">
        <v>109</v>
      </c>
      <c r="B2" s="19"/>
      <c r="C2" s="19"/>
      <c r="D2" s="19"/>
      <c r="E2" s="19"/>
      <c r="F2" s="19"/>
    </row>
    <row r="3" customFormat="false" ht="27.75" hidden="false" customHeight="true" outlineLevel="0" collapsed="false">
      <c r="A3" s="29" t="s">
        <v>57</v>
      </c>
      <c r="B3" s="29" t="s">
        <v>58</v>
      </c>
      <c r="C3" s="29" t="s">
        <v>59</v>
      </c>
      <c r="D3" s="29" t="s">
        <v>60</v>
      </c>
      <c r="E3" s="29" t="s">
        <v>61</v>
      </c>
      <c r="F3" s="29" t="s">
        <v>62</v>
      </c>
    </row>
    <row r="4" customFormat="false" ht="45" hidden="false" customHeight="true" outlineLevel="0" collapsed="false">
      <c r="A4" s="21" t="n">
        <v>1</v>
      </c>
      <c r="B4" s="17" t="s">
        <v>110</v>
      </c>
      <c r="C4" s="22"/>
      <c r="D4" s="22"/>
      <c r="E4" s="17"/>
      <c r="F4" s="17"/>
    </row>
    <row r="5" customFormat="false" ht="45" hidden="false" customHeight="true" outlineLevel="0" collapsed="false">
      <c r="A5" s="23" t="n">
        <v>2</v>
      </c>
      <c r="B5" s="24" t="s">
        <v>111</v>
      </c>
      <c r="C5" s="25"/>
      <c r="D5" s="25"/>
      <c r="E5" s="24"/>
      <c r="F5" s="24"/>
    </row>
    <row r="6" customFormat="false" ht="45" hidden="false" customHeight="true" outlineLevel="0" collapsed="false">
      <c r="A6" s="21" t="n">
        <v>3</v>
      </c>
      <c r="B6" s="17" t="s">
        <v>112</v>
      </c>
      <c r="C6" s="22"/>
      <c r="D6" s="22"/>
      <c r="E6" s="17"/>
      <c r="F6" s="17"/>
    </row>
    <row r="7" customFormat="false" ht="30" hidden="false" customHeight="true" outlineLevel="0" collapsed="false">
      <c r="A7" s="23" t="n">
        <v>4</v>
      </c>
      <c r="B7" s="24" t="s">
        <v>113</v>
      </c>
      <c r="C7" s="25"/>
      <c r="D7" s="25"/>
      <c r="E7" s="24"/>
      <c r="F7" s="24"/>
    </row>
    <row r="8" customFormat="false" ht="45" hidden="false" customHeight="true" outlineLevel="0" collapsed="false">
      <c r="A8" s="21" t="n">
        <v>5</v>
      </c>
      <c r="B8" s="17" t="s">
        <v>114</v>
      </c>
      <c r="C8" s="22"/>
      <c r="D8" s="22"/>
      <c r="E8" s="17"/>
      <c r="F8" s="17"/>
    </row>
    <row r="9" customFormat="false" ht="30" hidden="false" customHeight="true" outlineLevel="0" collapsed="false">
      <c r="A9" s="23" t="n">
        <v>6</v>
      </c>
      <c r="B9" s="24" t="s">
        <v>115</v>
      </c>
      <c r="C9" s="25"/>
      <c r="D9" s="25"/>
      <c r="E9" s="24"/>
      <c r="F9" s="24"/>
    </row>
    <row r="10" customFormat="false" ht="30" hidden="false" customHeight="true" outlineLevel="0" collapsed="false">
      <c r="A10" s="21" t="n">
        <v>7</v>
      </c>
      <c r="B10" s="17" t="s">
        <v>116</v>
      </c>
      <c r="C10" s="22"/>
      <c r="D10" s="22"/>
      <c r="E10" s="17"/>
      <c r="F10" s="17"/>
    </row>
    <row r="11" customFormat="false" ht="30" hidden="false" customHeight="true" outlineLevel="0" collapsed="false">
      <c r="A11" s="23" t="n">
        <v>8</v>
      </c>
      <c r="B11" s="24" t="s">
        <v>117</v>
      </c>
      <c r="C11" s="25"/>
      <c r="D11" s="25"/>
      <c r="E11" s="24"/>
      <c r="F11" s="24"/>
    </row>
    <row r="12" customFormat="false" ht="30" hidden="false" customHeight="true" outlineLevel="0" collapsed="false">
      <c r="A12" s="21" t="n">
        <v>9</v>
      </c>
      <c r="B12" s="17" t="s">
        <v>118</v>
      </c>
      <c r="C12" s="22"/>
      <c r="D12" s="22"/>
      <c r="E12" s="17"/>
      <c r="F12" s="17"/>
    </row>
    <row r="13" customFormat="false" ht="30" hidden="false" customHeight="true" outlineLevel="0" collapsed="false">
      <c r="A13" s="23" t="n">
        <v>10</v>
      </c>
      <c r="B13" s="24" t="s">
        <v>84</v>
      </c>
      <c r="C13" s="25"/>
      <c r="D13" s="25"/>
      <c r="E13" s="24"/>
      <c r="F13" s="24"/>
    </row>
    <row r="14" customFormat="false" ht="30" hidden="false" customHeight="true" outlineLevel="0" collapsed="false">
      <c r="A14" s="12" t="s">
        <v>119</v>
      </c>
      <c r="B14" s="12"/>
      <c r="C14" s="12"/>
      <c r="D14" s="12"/>
      <c r="E14" s="12"/>
      <c r="F14" s="12"/>
    </row>
    <row r="16" customFormat="false" ht="15" hidden="false" customHeight="false" outlineLevel="0" collapsed="false">
      <c r="A16" s="26" t="s">
        <v>72</v>
      </c>
      <c r="B16" s="26"/>
      <c r="C16" s="27"/>
      <c r="D16" s="27"/>
      <c r="E16" s="27"/>
      <c r="F16" s="27"/>
    </row>
    <row r="17" customFormat="false" ht="15" hidden="false" customHeight="false" outlineLevel="0" collapsed="false">
      <c r="A17" s="26" t="s">
        <v>73</v>
      </c>
      <c r="B17" s="26"/>
      <c r="C17" s="27"/>
      <c r="D17" s="27"/>
      <c r="E17" s="27"/>
      <c r="F17" s="27"/>
    </row>
  </sheetData>
  <mergeCells count="7">
    <mergeCell ref="A1:F1"/>
    <mergeCell ref="A2:F2"/>
    <mergeCell ref="A14:F14"/>
    <mergeCell ref="A16:B16"/>
    <mergeCell ref="C16:F16"/>
    <mergeCell ref="A17:B17"/>
    <mergeCell ref="C17:F17"/>
  </mergeCells>
  <conditionalFormatting sqref="C4:C13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4:C13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4:D13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8" t="s">
        <v>120</v>
      </c>
      <c r="B1" s="28"/>
      <c r="C1" s="28"/>
      <c r="D1" s="28"/>
      <c r="E1" s="28"/>
      <c r="F1" s="28"/>
    </row>
    <row r="2" customFormat="false" ht="27.75" hidden="false" customHeight="true" outlineLevel="0" collapsed="false">
      <c r="A2" s="29" t="s">
        <v>57</v>
      </c>
      <c r="B2" s="29" t="s">
        <v>58</v>
      </c>
      <c r="C2" s="29" t="s">
        <v>59</v>
      </c>
      <c r="D2" s="29" t="s">
        <v>60</v>
      </c>
      <c r="E2" s="29" t="s">
        <v>61</v>
      </c>
      <c r="F2" s="29" t="s">
        <v>62</v>
      </c>
    </row>
    <row r="3" customFormat="false" ht="30" hidden="false" customHeight="true" outlineLevel="0" collapsed="false">
      <c r="A3" s="21" t="n">
        <v>1</v>
      </c>
      <c r="B3" s="17" t="s">
        <v>121</v>
      </c>
      <c r="C3" s="22"/>
      <c r="D3" s="22"/>
      <c r="E3" s="17"/>
      <c r="F3" s="17"/>
    </row>
    <row r="4" customFormat="false" ht="30" hidden="false" customHeight="true" outlineLevel="0" collapsed="false">
      <c r="A4" s="23" t="n">
        <v>2</v>
      </c>
      <c r="B4" s="24" t="s">
        <v>122</v>
      </c>
      <c r="C4" s="25"/>
      <c r="D4" s="25"/>
      <c r="E4" s="24"/>
      <c r="F4" s="24"/>
    </row>
    <row r="5" customFormat="false" ht="30" hidden="false" customHeight="true" outlineLevel="0" collapsed="false">
      <c r="A5" s="21" t="n">
        <v>3</v>
      </c>
      <c r="B5" s="17" t="s">
        <v>123</v>
      </c>
      <c r="C5" s="22"/>
      <c r="D5" s="22"/>
      <c r="E5" s="17"/>
      <c r="F5" s="17"/>
    </row>
    <row r="6" customFormat="false" ht="30" hidden="false" customHeight="true" outlineLevel="0" collapsed="false">
      <c r="A6" s="23" t="n">
        <v>4</v>
      </c>
      <c r="B6" s="24" t="s">
        <v>124</v>
      </c>
      <c r="C6" s="25"/>
      <c r="D6" s="25"/>
      <c r="E6" s="24"/>
      <c r="F6" s="24"/>
    </row>
    <row r="7" customFormat="false" ht="30" hidden="false" customHeight="true" outlineLevel="0" collapsed="false">
      <c r="A7" s="21" t="n">
        <v>5</v>
      </c>
      <c r="B7" s="17" t="s">
        <v>125</v>
      </c>
      <c r="C7" s="22"/>
      <c r="D7" s="22"/>
      <c r="E7" s="17"/>
      <c r="F7" s="17"/>
    </row>
    <row r="8" customFormat="false" ht="30" hidden="false" customHeight="true" outlineLevel="0" collapsed="false">
      <c r="A8" s="23" t="n">
        <v>6</v>
      </c>
      <c r="B8" s="24" t="s">
        <v>126</v>
      </c>
      <c r="C8" s="25"/>
      <c r="D8" s="25"/>
      <c r="E8" s="24"/>
      <c r="F8" s="24"/>
    </row>
    <row r="9" customFormat="false" ht="30" hidden="false" customHeight="true" outlineLevel="0" collapsed="false">
      <c r="A9" s="21" t="n">
        <v>7</v>
      </c>
      <c r="B9" s="17" t="s">
        <v>127</v>
      </c>
      <c r="C9" s="22"/>
      <c r="D9" s="22"/>
      <c r="E9" s="17"/>
      <c r="F9" s="17"/>
    </row>
    <row r="10" customFormat="false" ht="45" hidden="false" customHeight="true" outlineLevel="0" collapsed="false">
      <c r="A10" s="23" t="n">
        <v>8</v>
      </c>
      <c r="B10" s="24" t="s">
        <v>128</v>
      </c>
      <c r="C10" s="25"/>
      <c r="D10" s="25"/>
      <c r="E10" s="24"/>
      <c r="F10" s="24"/>
    </row>
    <row r="11" customFormat="false" ht="30" hidden="false" customHeight="true" outlineLevel="0" collapsed="false">
      <c r="A11" s="21" t="n">
        <v>9</v>
      </c>
      <c r="B11" s="17" t="s">
        <v>129</v>
      </c>
      <c r="C11" s="22"/>
      <c r="D11" s="22"/>
      <c r="E11" s="17"/>
      <c r="F11" s="17"/>
    </row>
    <row r="12" customFormat="false" ht="30" hidden="false" customHeight="true" outlineLevel="0" collapsed="false">
      <c r="A12" s="23" t="n">
        <v>10</v>
      </c>
      <c r="B12" s="24" t="s">
        <v>130</v>
      </c>
      <c r="C12" s="25"/>
      <c r="D12" s="25"/>
      <c r="E12" s="24"/>
      <c r="F12" s="24"/>
    </row>
    <row r="13" customFormat="false" ht="30" hidden="false" customHeight="true" outlineLevel="0" collapsed="false">
      <c r="A13" s="21" t="n">
        <v>11</v>
      </c>
      <c r="B13" s="17" t="s">
        <v>131</v>
      </c>
      <c r="C13" s="22"/>
      <c r="D13" s="22"/>
      <c r="E13" s="17"/>
      <c r="F13" s="17"/>
    </row>
    <row r="14" customFormat="false" ht="30" hidden="false" customHeight="true" outlineLevel="0" collapsed="false">
      <c r="A14" s="23" t="n">
        <v>12</v>
      </c>
      <c r="B14" s="24" t="s">
        <v>132</v>
      </c>
      <c r="C14" s="25"/>
      <c r="D14" s="25"/>
      <c r="E14" s="24"/>
      <c r="F14" s="24"/>
    </row>
    <row r="15" customFormat="false" ht="30" hidden="false" customHeight="true" outlineLevel="0" collapsed="false">
      <c r="A15" s="21" t="n">
        <v>13</v>
      </c>
      <c r="B15" s="17" t="s">
        <v>133</v>
      </c>
      <c r="C15" s="22"/>
      <c r="D15" s="22"/>
      <c r="E15" s="17"/>
      <c r="F15" s="17"/>
    </row>
    <row r="16" customFormat="false" ht="30" hidden="false" customHeight="true" outlineLevel="0" collapsed="false">
      <c r="A16" s="23" t="n">
        <v>14</v>
      </c>
      <c r="B16" s="24" t="s">
        <v>134</v>
      </c>
      <c r="C16" s="25"/>
      <c r="D16" s="25"/>
      <c r="E16" s="24"/>
      <c r="F16" s="24"/>
    </row>
    <row r="17" customFormat="false" ht="30" hidden="false" customHeight="true" outlineLevel="0" collapsed="false">
      <c r="A17" s="21" t="n">
        <v>15</v>
      </c>
      <c r="B17" s="17" t="s">
        <v>135</v>
      </c>
      <c r="C17" s="22"/>
      <c r="D17" s="22"/>
      <c r="E17" s="17"/>
      <c r="F17" s="17"/>
    </row>
    <row r="18" customFormat="false" ht="30" hidden="false" customHeight="true" outlineLevel="0" collapsed="false">
      <c r="A18" s="23" t="n">
        <v>16</v>
      </c>
      <c r="B18" s="24" t="s">
        <v>136</v>
      </c>
      <c r="C18" s="25"/>
      <c r="D18" s="25"/>
      <c r="E18" s="24"/>
      <c r="F18" s="24"/>
    </row>
    <row r="19" customFormat="false" ht="30" hidden="false" customHeight="true" outlineLevel="0" collapsed="false">
      <c r="A19" s="21" t="n">
        <v>17</v>
      </c>
      <c r="B19" s="17" t="s">
        <v>137</v>
      </c>
      <c r="C19" s="22"/>
      <c r="D19" s="22"/>
      <c r="E19" s="17"/>
      <c r="F19" s="17"/>
    </row>
    <row r="20" customFormat="false" ht="30" hidden="false" customHeight="true" outlineLevel="0" collapsed="false">
      <c r="A20" s="23" t="n">
        <v>18</v>
      </c>
      <c r="B20" s="24" t="s">
        <v>138</v>
      </c>
      <c r="C20" s="25"/>
      <c r="D20" s="25"/>
      <c r="E20" s="24"/>
      <c r="F20" s="24"/>
    </row>
    <row r="21" customFormat="false" ht="30" hidden="false" customHeight="true" outlineLevel="0" collapsed="false">
      <c r="A21" s="21" t="n">
        <v>19</v>
      </c>
      <c r="B21" s="17" t="s">
        <v>84</v>
      </c>
      <c r="C21" s="22"/>
      <c r="D21" s="22"/>
      <c r="E21" s="17"/>
      <c r="F21" s="17"/>
    </row>
    <row r="22" customFormat="false" ht="30" hidden="false" customHeight="true" outlineLevel="0" collapsed="false">
      <c r="A22" s="12" t="s">
        <v>139</v>
      </c>
      <c r="B22" s="12"/>
      <c r="C22" s="12"/>
      <c r="D22" s="12"/>
      <c r="E22" s="12"/>
      <c r="F22" s="12"/>
    </row>
    <row r="23" customFormat="false" ht="30" hidden="false" customHeight="true" outlineLevel="0" collapsed="false">
      <c r="A23" s="12" t="s">
        <v>140</v>
      </c>
      <c r="B23" s="12"/>
      <c r="C23" s="12"/>
      <c r="D23" s="12"/>
      <c r="E23" s="12"/>
      <c r="F23" s="12"/>
    </row>
    <row r="25" customFormat="false" ht="15" hidden="false" customHeight="false" outlineLevel="0" collapsed="false">
      <c r="A25" s="26" t="s">
        <v>72</v>
      </c>
      <c r="B25" s="26"/>
      <c r="C25" s="27"/>
      <c r="D25" s="27"/>
      <c r="E25" s="27"/>
      <c r="F25" s="27"/>
    </row>
    <row r="26" customFormat="false" ht="15" hidden="false" customHeight="false" outlineLevel="0" collapsed="false">
      <c r="A26" s="26" t="s">
        <v>73</v>
      </c>
      <c r="B26" s="26"/>
      <c r="C26" s="27"/>
      <c r="D26" s="27"/>
      <c r="E26" s="27"/>
      <c r="F26" s="27"/>
    </row>
  </sheetData>
  <mergeCells count="7">
    <mergeCell ref="A1:F1"/>
    <mergeCell ref="A22:F22"/>
    <mergeCell ref="A23:F23"/>
    <mergeCell ref="A25:B25"/>
    <mergeCell ref="C25:F25"/>
    <mergeCell ref="A26:B26"/>
    <mergeCell ref="C26:F26"/>
  </mergeCells>
  <conditionalFormatting sqref="C3:C21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3:C21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3:D21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30" t="s">
        <v>141</v>
      </c>
      <c r="B1" s="30"/>
      <c r="C1" s="30"/>
      <c r="D1" s="30"/>
      <c r="E1" s="30"/>
      <c r="F1" s="30"/>
    </row>
    <row r="2" customFormat="false" ht="27.75" hidden="false" customHeight="true" outlineLevel="0" collapsed="false">
      <c r="A2" s="19" t="s">
        <v>142</v>
      </c>
      <c r="B2" s="19"/>
      <c r="C2" s="19"/>
      <c r="D2" s="19"/>
      <c r="E2" s="19"/>
      <c r="F2" s="19"/>
    </row>
    <row r="3" customFormat="false" ht="27.75" hidden="false" customHeight="true" outlineLevel="0" collapsed="false">
      <c r="A3" s="31" t="s">
        <v>57</v>
      </c>
      <c r="B3" s="31" t="s">
        <v>58</v>
      </c>
      <c r="C3" s="31" t="s">
        <v>59</v>
      </c>
      <c r="D3" s="31" t="s">
        <v>60</v>
      </c>
      <c r="E3" s="31" t="s">
        <v>61</v>
      </c>
      <c r="F3" s="31" t="s">
        <v>62</v>
      </c>
    </row>
    <row r="4" customFormat="false" ht="30" hidden="false" customHeight="true" outlineLevel="0" collapsed="false">
      <c r="A4" s="21" t="n">
        <v>1</v>
      </c>
      <c r="B4" s="17" t="s">
        <v>143</v>
      </c>
      <c r="C4" s="22"/>
      <c r="D4" s="22"/>
      <c r="E4" s="17"/>
      <c r="F4" s="17"/>
    </row>
    <row r="5" customFormat="false" ht="30" hidden="false" customHeight="true" outlineLevel="0" collapsed="false">
      <c r="A5" s="23" t="n">
        <v>2</v>
      </c>
      <c r="B5" s="24" t="s">
        <v>144</v>
      </c>
      <c r="C5" s="25"/>
      <c r="D5" s="25"/>
      <c r="E5" s="24"/>
      <c r="F5" s="24"/>
    </row>
    <row r="6" customFormat="false" ht="30" hidden="false" customHeight="true" outlineLevel="0" collapsed="false">
      <c r="A6" s="21" t="n">
        <v>3</v>
      </c>
      <c r="B6" s="17" t="s">
        <v>145</v>
      </c>
      <c r="C6" s="22"/>
      <c r="D6" s="22"/>
      <c r="E6" s="17"/>
      <c r="F6" s="17"/>
    </row>
    <row r="7" customFormat="false" ht="30" hidden="false" customHeight="true" outlineLevel="0" collapsed="false">
      <c r="A7" s="23" t="n">
        <v>4</v>
      </c>
      <c r="B7" s="24" t="s">
        <v>146</v>
      </c>
      <c r="C7" s="25"/>
      <c r="D7" s="25"/>
      <c r="E7" s="24"/>
      <c r="F7" s="24"/>
    </row>
    <row r="8" customFormat="false" ht="30" hidden="false" customHeight="true" outlineLevel="0" collapsed="false">
      <c r="A8" s="21" t="n">
        <v>5</v>
      </c>
      <c r="B8" s="17" t="s">
        <v>147</v>
      </c>
      <c r="C8" s="22"/>
      <c r="D8" s="22"/>
      <c r="E8" s="17"/>
      <c r="F8" s="17"/>
    </row>
    <row r="9" customFormat="false" ht="30" hidden="false" customHeight="true" outlineLevel="0" collapsed="false">
      <c r="A9" s="23" t="n">
        <v>6</v>
      </c>
      <c r="B9" s="24" t="s">
        <v>148</v>
      </c>
      <c r="C9" s="25"/>
      <c r="D9" s="25"/>
      <c r="E9" s="24"/>
      <c r="F9" s="24"/>
    </row>
    <row r="10" customFormat="false" ht="30" hidden="false" customHeight="true" outlineLevel="0" collapsed="false">
      <c r="A10" s="21" t="n">
        <v>7</v>
      </c>
      <c r="B10" s="17" t="s">
        <v>149</v>
      </c>
      <c r="C10" s="22"/>
      <c r="D10" s="22"/>
      <c r="E10" s="17"/>
      <c r="F10" s="17"/>
    </row>
    <row r="11" customFormat="false" ht="30" hidden="false" customHeight="true" outlineLevel="0" collapsed="false">
      <c r="A11" s="23" t="n">
        <v>8</v>
      </c>
      <c r="B11" s="24" t="s">
        <v>150</v>
      </c>
      <c r="C11" s="25"/>
      <c r="D11" s="25"/>
      <c r="E11" s="24"/>
      <c r="F11" s="24"/>
    </row>
    <row r="12" customFormat="false" ht="30" hidden="false" customHeight="true" outlineLevel="0" collapsed="false">
      <c r="A12" s="21" t="n">
        <v>9</v>
      </c>
      <c r="B12" s="17" t="s">
        <v>151</v>
      </c>
      <c r="C12" s="22"/>
      <c r="D12" s="22"/>
      <c r="E12" s="17"/>
      <c r="F12" s="17"/>
    </row>
    <row r="13" customFormat="false" ht="30" hidden="false" customHeight="true" outlineLevel="0" collapsed="false">
      <c r="A13" s="23" t="n">
        <v>10</v>
      </c>
      <c r="B13" s="24" t="s">
        <v>152</v>
      </c>
      <c r="C13" s="25"/>
      <c r="D13" s="25"/>
      <c r="E13" s="24"/>
      <c r="F13" s="24"/>
    </row>
    <row r="14" customFormat="false" ht="30" hidden="false" customHeight="true" outlineLevel="0" collapsed="false">
      <c r="A14" s="21" t="n">
        <v>11</v>
      </c>
      <c r="B14" s="17" t="s">
        <v>153</v>
      </c>
      <c r="C14" s="22"/>
      <c r="D14" s="22"/>
      <c r="E14" s="17"/>
      <c r="F14" s="17"/>
    </row>
    <row r="15" customFormat="false" ht="30" hidden="false" customHeight="true" outlineLevel="0" collapsed="false">
      <c r="A15" s="23" t="n">
        <v>12</v>
      </c>
      <c r="B15" s="24" t="s">
        <v>154</v>
      </c>
      <c r="C15" s="25"/>
      <c r="D15" s="25"/>
      <c r="E15" s="24"/>
      <c r="F15" s="24"/>
    </row>
    <row r="16" customFormat="false" ht="30" hidden="false" customHeight="true" outlineLevel="0" collapsed="false">
      <c r="A16" s="21" t="n">
        <v>13</v>
      </c>
      <c r="B16" s="17" t="s">
        <v>155</v>
      </c>
      <c r="C16" s="22"/>
      <c r="D16" s="22"/>
      <c r="E16" s="17"/>
      <c r="F16" s="17"/>
    </row>
    <row r="17" customFormat="false" ht="30" hidden="false" customHeight="true" outlineLevel="0" collapsed="false">
      <c r="A17" s="23" t="n">
        <v>14</v>
      </c>
      <c r="B17" s="24" t="s">
        <v>156</v>
      </c>
      <c r="C17" s="25"/>
      <c r="D17" s="25"/>
      <c r="E17" s="24"/>
      <c r="F17" s="24"/>
    </row>
    <row r="18" customFormat="false" ht="30" hidden="false" customHeight="true" outlineLevel="0" collapsed="false">
      <c r="A18" s="21" t="n">
        <v>15</v>
      </c>
      <c r="B18" s="17" t="s">
        <v>157</v>
      </c>
      <c r="C18" s="22"/>
      <c r="D18" s="22"/>
      <c r="E18" s="17"/>
      <c r="F18" s="17"/>
    </row>
    <row r="19" customFormat="false" ht="30" hidden="false" customHeight="true" outlineLevel="0" collapsed="false">
      <c r="A19" s="23" t="n">
        <v>16</v>
      </c>
      <c r="B19" s="24" t="s">
        <v>158</v>
      </c>
      <c r="C19" s="25"/>
      <c r="D19" s="25"/>
      <c r="E19" s="24"/>
      <c r="F19" s="24"/>
    </row>
    <row r="20" customFormat="false" ht="30" hidden="false" customHeight="true" outlineLevel="0" collapsed="false">
      <c r="A20" s="21" t="n">
        <v>17</v>
      </c>
      <c r="B20" s="17" t="s">
        <v>159</v>
      </c>
      <c r="C20" s="22"/>
      <c r="D20" s="22"/>
      <c r="E20" s="17"/>
      <c r="F20" s="17"/>
    </row>
    <row r="21" customFormat="false" ht="30" hidden="false" customHeight="true" outlineLevel="0" collapsed="false">
      <c r="A21" s="23" t="n">
        <v>18</v>
      </c>
      <c r="B21" s="24" t="s">
        <v>160</v>
      </c>
      <c r="C21" s="25"/>
      <c r="D21" s="25"/>
      <c r="E21" s="24"/>
      <c r="F21" s="24"/>
    </row>
    <row r="23" customFormat="false" ht="15" hidden="false" customHeight="false" outlineLevel="0" collapsed="false">
      <c r="A23" s="26" t="s">
        <v>72</v>
      </c>
      <c r="B23" s="26"/>
      <c r="C23" s="27"/>
      <c r="D23" s="27"/>
      <c r="E23" s="27"/>
      <c r="F23" s="27"/>
    </row>
    <row r="24" customFormat="false" ht="15" hidden="false" customHeight="false" outlineLevel="0" collapsed="false">
      <c r="A24" s="26" t="s">
        <v>73</v>
      </c>
      <c r="B24" s="26"/>
      <c r="C24" s="27"/>
      <c r="D24" s="27"/>
      <c r="E24" s="27"/>
      <c r="F24" s="27"/>
    </row>
  </sheetData>
  <mergeCells count="6">
    <mergeCell ref="A1:F1"/>
    <mergeCell ref="A2:F2"/>
    <mergeCell ref="A23:B23"/>
    <mergeCell ref="C23:F23"/>
    <mergeCell ref="A24:B24"/>
    <mergeCell ref="C24:F24"/>
  </mergeCells>
  <conditionalFormatting sqref="C4:C21">
    <cfRule type="cellIs" priority="2" operator="equal" aboveAverage="0" equalAverage="0" bottom="0" percent="0" rank="0" text="" dxfId="1">
      <formula>"בוצע"</formula>
    </cfRule>
    <cfRule type="cellIs" priority="3" operator="equal" aboveAverage="0" equalAverage="0" bottom="0" percent="0" rank="0" text="" dxfId="0">
      <formula>"לא בוצע"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2">
    <dataValidation allowBlank="true" error="בחר מהרשימה" errorStyle="stop" errorTitle="ערך לא חוקי" operator="between" showDropDown="false" showErrorMessage="false" showInputMessage="false" sqref="C4:C21" type="list">
      <formula1>"בוצע,לא בוצע,לא רלוונטי"</formula1>
      <formula2>0</formula2>
    </dataValidation>
    <dataValidation allowBlank="true" errorStyle="stop" operator="between" showDropDown="false" showErrorMessage="false" showInputMessage="false" sqref="D4:D21" type="list">
      <formula1>"🔴 קריטי,🟠 מז'ורי,🟡 מינורי"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30" hidden="false" customHeight="true" outlineLevel="0" collapsed="false">
      <c r="A2" s="13" t="s">
        <v>162</v>
      </c>
      <c r="B2" s="13" t="s">
        <v>40</v>
      </c>
      <c r="C2" s="13" t="s">
        <v>163</v>
      </c>
      <c r="D2" s="13" t="s">
        <v>164</v>
      </c>
      <c r="E2" s="13" t="s">
        <v>165</v>
      </c>
      <c r="F2" s="13" t="s">
        <v>166</v>
      </c>
      <c r="G2" s="13" t="s">
        <v>167</v>
      </c>
      <c r="H2" s="13" t="s">
        <v>59</v>
      </c>
      <c r="I2" s="13" t="s">
        <v>168</v>
      </c>
      <c r="J2" s="13" t="s">
        <v>169</v>
      </c>
    </row>
    <row r="3" customFormat="false" ht="15" hidden="false" customHeight="false" outlineLevel="0" collapsed="false">
      <c r="A3" s="17" t="n">
        <v>1</v>
      </c>
      <c r="B3" s="17"/>
      <c r="C3" s="17"/>
      <c r="D3" s="17"/>
      <c r="E3" s="17"/>
      <c r="F3" s="17"/>
      <c r="G3" s="17"/>
      <c r="H3" s="17"/>
      <c r="I3" s="17"/>
      <c r="J3" s="17"/>
    </row>
    <row r="4" customFormat="false" ht="15" hidden="false" customHeight="fals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17" t="n">
        <v>3</v>
      </c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7" t="n">
        <v>5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17" t="n">
        <v>7</v>
      </c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fals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17" t="n">
        <v>9</v>
      </c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fals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17" t="n">
        <v>11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fals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17" t="n">
        <v>13</v>
      </c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17" t="n">
        <v>15</v>
      </c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17" t="n">
        <v>17</v>
      </c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17" t="n">
        <v>19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17" t="n"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fals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17" t="n">
        <v>23</v>
      </c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fals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17" t="n">
        <v>25</v>
      </c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fals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17" t="n">
        <v>27</v>
      </c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17" t="n">
        <v>29</v>
      </c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fals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17" t="n">
        <v>31</v>
      </c>
      <c r="B33" s="17"/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fals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17" t="n">
        <v>33</v>
      </c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fals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17" t="n">
        <v>35</v>
      </c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17" t="n">
        <v>37</v>
      </c>
      <c r="B39" s="17"/>
      <c r="C39" s="17"/>
      <c r="D39" s="17"/>
      <c r="E39" s="17"/>
      <c r="F39" s="17"/>
      <c r="G39" s="17"/>
      <c r="H39" s="17"/>
      <c r="I39" s="17"/>
      <c r="J39" s="17"/>
    </row>
    <row r="40" customFormat="false" ht="15" hidden="false" customHeight="fals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17" t="n">
        <v>39</v>
      </c>
      <c r="B41" s="17"/>
      <c r="C41" s="17"/>
      <c r="D41" s="17"/>
      <c r="E41" s="17"/>
      <c r="F41" s="17"/>
      <c r="G41" s="17"/>
      <c r="H41" s="17"/>
      <c r="I41" s="17"/>
      <c r="J41" s="17"/>
    </row>
    <row r="42" customFormat="false" ht="15" hidden="false" customHeight="fals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30" hidden="false" customHeight="true" outlineLevel="0" collapsed="false">
      <c r="A43" s="12" t="s">
        <v>170</v>
      </c>
      <c r="B43" s="12"/>
      <c r="C43" s="12"/>
      <c r="D43" s="12"/>
      <c r="E43" s="12"/>
      <c r="F43" s="12"/>
      <c r="G43" s="12"/>
      <c r="H43" s="12"/>
      <c r="I43" s="12"/>
      <c r="J43" s="12"/>
    </row>
  </sheetData>
  <mergeCells count="2">
    <mergeCell ref="A1:J1"/>
    <mergeCell ref="A43:J43"/>
  </mergeCells>
  <conditionalFormatting sqref="H3:H42">
    <cfRule type="cellIs" priority="2" operator="equal" aboveAverage="0" equalAverage="0" bottom="0" percent="0" rank="0" text="" dxfId="0">
      <formula>"פתוח"</formula>
    </cfRule>
    <cfRule type="cellIs" priority="3" operator="equal" aboveAverage="0" equalAverage="0" bottom="0" percent="0" rank="0" text="" dxfId="1">
      <formula>"נסגר"</formula>
    </cfRule>
  </conditionalFormatting>
  <dataValidations count="4">
    <dataValidation allowBlank="true" errorStyle="stop" operator="between" showDropDown="false" showErrorMessage="false" showInputMessage="false" sqref="E3:E42" type="list">
      <formula1>"🔴 קריטי,🟠 מז'ורי,🟡 מינורי"</formula1>
      <formula2>0</formula2>
    </dataValidation>
    <dataValidation allowBlank="true" errorStyle="stop" operator="between" showDropDown="false" showErrorMessage="false" showInputMessage="false" sqref="H3:H42" type="list">
      <formula1>"פתוח,נסגר"</formula1>
      <formula2>0</formula2>
    </dataValidation>
    <dataValidation allowBlank="true" errorStyle="stop" operator="between" showDropDown="false" showErrorMessage="false" showInputMessage="false" sqref="B3:B42" type="list">
      <formula1>"טרום יציקה,שער 1,שער 2,שער 3,שער 4,שער 5,שער 6"</formula1>
      <formula2>0</formula2>
    </dataValidation>
    <dataValidation allowBlank="true" errorStyle="stop" operator="between" showDropDown="false" showErrorMessage="false" showInputMessage="false" sqref="C3:C42" type="list">
      <formula1>INDIRECT(SUBSTITUTE($B3," ","_"))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40"/>
  </cols>
  <sheetData>
    <row r="1" customFormat="false" ht="15" hidden="false" customHeight="false" outlineLevel="0" collapsed="false">
      <c r="A1" s="32" t="s">
        <v>47</v>
      </c>
      <c r="B1" s="32" t="s">
        <v>48</v>
      </c>
      <c r="C1" s="32" t="s">
        <v>49</v>
      </c>
      <c r="D1" s="32" t="s">
        <v>50</v>
      </c>
      <c r="E1" s="32" t="s">
        <v>51</v>
      </c>
      <c r="F1" s="32" t="s">
        <v>52</v>
      </c>
      <c r="G1" s="32" t="s">
        <v>53</v>
      </c>
    </row>
    <row r="2" customFormat="false" ht="14.9" hidden="false" customHeight="false" outlineLevel="0" collapsed="false">
      <c r="A2" s="0" t="s">
        <v>171</v>
      </c>
      <c r="B2" s="0" t="s">
        <v>172</v>
      </c>
      <c r="C2" s="0" t="s">
        <v>173</v>
      </c>
      <c r="D2" s="0" t="s">
        <v>174</v>
      </c>
      <c r="E2" s="0" t="s">
        <v>175</v>
      </c>
      <c r="F2" s="0" t="s">
        <v>176</v>
      </c>
      <c r="G2" s="0" t="s">
        <v>177</v>
      </c>
    </row>
    <row r="3" customFormat="false" ht="14.9" hidden="false" customHeight="false" outlineLevel="0" collapsed="false">
      <c r="A3" s="0" t="s">
        <v>178</v>
      </c>
      <c r="B3" s="0" t="s">
        <v>179</v>
      </c>
      <c r="C3" s="0" t="s">
        <v>180</v>
      </c>
      <c r="D3" s="0" t="s">
        <v>181</v>
      </c>
      <c r="E3" s="0" t="s">
        <v>182</v>
      </c>
      <c r="F3" s="0" t="s">
        <v>183</v>
      </c>
      <c r="G3" s="0" t="s">
        <v>184</v>
      </c>
    </row>
    <row r="4" customFormat="false" ht="14.9" hidden="false" customHeight="false" outlineLevel="0" collapsed="false">
      <c r="A4" s="0" t="s">
        <v>185</v>
      </c>
      <c r="B4" s="0" t="s">
        <v>186</v>
      </c>
      <c r="C4" s="0" t="s">
        <v>187</v>
      </c>
      <c r="D4" s="0" t="s">
        <v>188</v>
      </c>
      <c r="E4" s="0" t="s">
        <v>189</v>
      </c>
      <c r="F4" s="0" t="s">
        <v>190</v>
      </c>
      <c r="G4" s="0" t="s">
        <v>191</v>
      </c>
    </row>
    <row r="5" customFormat="false" ht="14.9" hidden="false" customHeight="false" outlineLevel="0" collapsed="false">
      <c r="A5" s="0" t="s">
        <v>192</v>
      </c>
      <c r="B5" s="0" t="s">
        <v>193</v>
      </c>
      <c r="C5" s="0" t="s">
        <v>194</v>
      </c>
      <c r="D5" s="0" t="s">
        <v>195</v>
      </c>
      <c r="E5" s="0" t="s">
        <v>196</v>
      </c>
      <c r="F5" s="0" t="s">
        <v>197</v>
      </c>
      <c r="G5" s="0" t="s">
        <v>198</v>
      </c>
    </row>
    <row r="6" customFormat="false" ht="14.9" hidden="false" customHeight="false" outlineLevel="0" collapsed="false">
      <c r="A6" s="0" t="s">
        <v>199</v>
      </c>
      <c r="B6" s="0" t="s">
        <v>200</v>
      </c>
      <c r="C6" s="0" t="s">
        <v>201</v>
      </c>
      <c r="D6" s="0" t="s">
        <v>202</v>
      </c>
      <c r="E6" s="0" t="s">
        <v>203</v>
      </c>
      <c r="F6" s="0" t="s">
        <v>204</v>
      </c>
      <c r="G6" s="0" t="s">
        <v>205</v>
      </c>
    </row>
    <row r="7" customFormat="false" ht="14.9" hidden="false" customHeight="false" outlineLevel="0" collapsed="false">
      <c r="A7" s="0" t="s">
        <v>206</v>
      </c>
      <c r="B7" s="0" t="s">
        <v>207</v>
      </c>
      <c r="C7" s="0" t="s">
        <v>208</v>
      </c>
      <c r="D7" s="0" t="s">
        <v>209</v>
      </c>
      <c r="E7" s="0" t="s">
        <v>210</v>
      </c>
      <c r="F7" s="0" t="s">
        <v>211</v>
      </c>
      <c r="G7" s="0" t="s">
        <v>212</v>
      </c>
    </row>
    <row r="8" customFormat="false" ht="14.9" hidden="false" customHeight="false" outlineLevel="0" collapsed="false">
      <c r="A8" s="0" t="s">
        <v>213</v>
      </c>
      <c r="B8" s="0" t="s">
        <v>214</v>
      </c>
      <c r="C8" s="0" t="s">
        <v>215</v>
      </c>
      <c r="D8" s="0" t="s">
        <v>216</v>
      </c>
      <c r="E8" s="0" t="s">
        <v>217</v>
      </c>
      <c r="F8" s="0" t="s">
        <v>218</v>
      </c>
      <c r="G8" s="0" t="s">
        <v>219</v>
      </c>
    </row>
    <row r="9" customFormat="false" ht="15" hidden="false" customHeight="false" outlineLevel="0" collapsed="false">
      <c r="B9" s="0" t="s">
        <v>220</v>
      </c>
      <c r="C9" s="0" t="s">
        <v>221</v>
      </c>
      <c r="D9" s="0" t="s">
        <v>222</v>
      </c>
      <c r="E9" s="0" t="s">
        <v>223</v>
      </c>
      <c r="F9" s="0" t="s">
        <v>224</v>
      </c>
      <c r="G9" s="0" t="s">
        <v>225</v>
      </c>
    </row>
    <row r="10" customFormat="false" ht="15" hidden="false" customHeight="false" outlineLevel="0" collapsed="false">
      <c r="B10" s="0" t="s">
        <v>226</v>
      </c>
      <c r="C10" s="0" t="s">
        <v>227</v>
      </c>
      <c r="D10" s="0" t="s">
        <v>228</v>
      </c>
      <c r="E10" s="0" t="s">
        <v>229</v>
      </c>
      <c r="F10" s="0" t="s">
        <v>230</v>
      </c>
      <c r="G10" s="0" t="s">
        <v>231</v>
      </c>
    </row>
    <row r="11" customFormat="false" ht="15" hidden="false" customHeight="false" outlineLevel="0" collapsed="false">
      <c r="B11" s="0" t="s">
        <v>232</v>
      </c>
      <c r="C11" s="0" t="s">
        <v>232</v>
      </c>
      <c r="E11" s="0" t="s">
        <v>232</v>
      </c>
      <c r="F11" s="0" t="s">
        <v>233</v>
      </c>
      <c r="G11" s="0" t="s">
        <v>234</v>
      </c>
    </row>
    <row r="12" customFormat="false" ht="15" hidden="false" customHeight="false" outlineLevel="0" collapsed="false">
      <c r="F12" s="0" t="s">
        <v>235</v>
      </c>
      <c r="G12" s="0" t="s">
        <v>236</v>
      </c>
    </row>
    <row r="13" customFormat="false" ht="15" hidden="false" customHeight="false" outlineLevel="0" collapsed="false">
      <c r="F13" s="0" t="s">
        <v>237</v>
      </c>
      <c r="G13" s="0" t="s">
        <v>238</v>
      </c>
    </row>
    <row r="14" customFormat="false" ht="15" hidden="false" customHeight="false" outlineLevel="0" collapsed="false">
      <c r="F14" s="0" t="s">
        <v>239</v>
      </c>
      <c r="G14" s="0" t="s">
        <v>240</v>
      </c>
    </row>
    <row r="15" customFormat="false" ht="15" hidden="false" customHeight="false" outlineLevel="0" collapsed="false">
      <c r="F15" s="0" t="s">
        <v>241</v>
      </c>
      <c r="G15" s="0" t="s">
        <v>242</v>
      </c>
    </row>
    <row r="16" customFormat="false" ht="15" hidden="false" customHeight="false" outlineLevel="0" collapsed="false">
      <c r="F16" s="0" t="s">
        <v>243</v>
      </c>
      <c r="G16" s="0" t="s">
        <v>244</v>
      </c>
    </row>
    <row r="17" customFormat="false" ht="15" hidden="false" customHeight="false" outlineLevel="0" collapsed="false">
      <c r="F17" s="0" t="s">
        <v>245</v>
      </c>
      <c r="G17" s="0" t="s">
        <v>246</v>
      </c>
    </row>
    <row r="18" customFormat="false" ht="15" hidden="false" customHeight="false" outlineLevel="0" collapsed="false">
      <c r="F18" s="0" t="s">
        <v>247</v>
      </c>
      <c r="G18" s="0" t="s">
        <v>248</v>
      </c>
    </row>
    <row r="19" customFormat="false" ht="14.9" hidden="false" customHeight="false" outlineLevel="0" collapsed="false">
      <c r="F19" s="0" t="s">
        <v>249</v>
      </c>
      <c r="G19" s="0" t="s">
        <v>250</v>
      </c>
    </row>
    <row r="20" customFormat="false" ht="15" hidden="false" customHeight="false" outlineLevel="0" collapsed="false">
      <c r="F20" s="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2026-07-06T05:31:19Z</dcterms:created>
  <dc:creator>openpyxl</dc:creator>
  <dc:description/>
  <dc:language>en-US</dc:language>
  <cp:lastModifiedBy/>
  <dcterms:modified xsi:type="dcterms:W3CDTF">2026-07-06T05:31:19Z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